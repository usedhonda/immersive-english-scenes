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11aa4c3bc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9147ab8e002e477f"/>
    <x:sheet xmlns:r="http://schemas.openxmlformats.org/officeDocument/2006/relationships" name="Scene Catalog" sheetId="2" r:id="Rf5caa586e39a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E1B4B"/>
      <x:name val="Carlito"/>
    </x:font>
    <x:font>
      <x:b/>
      <x:sz val="11"/>
      <x:color rgb="FF312E81"/>
      <x:name val="Carlito"/>
    </x:font>
    <x:font>
      <x:sz val="11"/>
      <x:color rgb="FF334155"/>
      <x:name val="Carlito"/>
    </x:font>
    <x:font>
      <x:b/>
      <x:sz val="11"/>
      <x:color rgb="FF92400E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C7D2FE"/>
      </x:patternFill>
    </x:fill>
    <x:fill>
      <x:patternFill patternType="solid">
        <x:fgColor rgb="FFE0E7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A5B4FC"/>
      </x:left>
      <x:top style="thin">
        <x:color rgb="FFA5B4FC"/>
      </x:top>
    </x:border>
    <x:border>
      <x:right style="thin">
        <x:color rgb="FFA5B4FC"/>
      </x:right>
      <x:top style="thin">
        <x:color rgb="FFA5B4FC"/>
      </x:top>
    </x:border>
    <x:border>
      <x:left style="thin">
        <x:color rgb="FFA5B4FC"/>
      </x:left>
    </x:border>
    <x:border>
      <x:right style="thin">
        <x:color rgb="FFA5B4FC"/>
      </x:right>
    </x:border>
    <x:border>
      <x:left style="thin">
        <x:color rgb="FFA5B4FC"/>
      </x:left>
      <x:bottom style="thin">
        <x:color rgb="FFA5B4FC"/>
      </x:bottom>
    </x:border>
    <x:border>
      <x:right style="thin">
        <x:color rgb="FFA5B4FC"/>
      </x:right>
      <x:bottom style="thin">
        <x:color rgb="FFA5B4FC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7" fillId="2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3dd6c34fa4afb" /><Relationship Type="http://schemas.openxmlformats.org/officeDocument/2006/relationships/theme" Target="/xl/theme/theme1.xml" Id="R8c6fbc4bf3a74d85" /><Relationship Type="http://schemas.openxmlformats.org/officeDocument/2006/relationships/sharedStrings" Target="/xl/sharedStrings.xml" Id="Rb2b4bd582c7142a4" /><Relationship Type="http://schemas.openxmlformats.org/officeDocument/2006/relationships/worksheet" Target="/xl/worksheets/sheet1.xml" Id="R9147ab8e002e477f" /><Relationship Type="http://schemas.openxmlformats.org/officeDocument/2006/relationships/worksheet" Target="/xl/worksheets/sheet2.xml" Id="Rf5caa586e39a4940" /></Relationships>
</file>

<file path=xl/tables/table1.xml><?xml version="1.0" encoding="utf-8"?>
<x:table xmlns:x="http://schemas.openxmlformats.org/spreadsheetml/2006/main" id="1" name="SceneCatalogTable" displayName="SceneCatalogTable" ref="A1:T241" headerRowCount="1" totalsRowCount="0" totalsRowShown="0">
  <x:autoFilter ref="A1:T241"/>
  <x:tableColumns count="20">
    <x:tableColumn id="1" name="Scene ID"/>
    <x:tableColumn id="2" name="Genre"/>
    <x:tableColumn id="3" name="English Title"/>
    <x:tableColumn id="4" name="Japanese Title"/>
    <x:tableColumn id="5" name="World"/>
    <x:tableColumn id="6" name="You Are"/>
    <x:tableColumn id="7" name="Primary Counterpart"/>
    <x:tableColumn id="8" name="Recommended Voice"/>
    <x:tableColumn id="9" name="Voice Fit"/>
    <x:tableColumn id="10" name="Internal Level"/>
    <x:tableColumn id="11" name="Displayed Level"/>
    <x:tableColumn id="12" name="Level Support"/>
    <x:tableColumn id="13" name="Primary Skill"/>
    <x:tableColumn id="14" name="Mechanics"/>
    <x:tableColumn id="15" name="Tone"/>
    <x:tableColumn id="16" name="Minutes"/>
    <x:tableColumn id="17" name="Immediate Goal"/>
    <x:tableColumn id="18" name="Stakes"/>
    <x:tableColumn id="19" name="Risk"/>
    <x:tableColumn id="20" name="Card Anch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52adcb4a19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19" t="str">
        <x:v>Immersive English Scenes — 240 Base Scenes / 960 Variations</x:v>
      </x:c>
      <x:c r="B1" s="19"/>
      <x:c r="C1" s="19"/>
      <x:c r="D1" s="19"/>
      <x:c r="E1" s="19"/>
      <x:c r="F1" s="19"/>
      <x:c r="G1" s="19"/>
      <x:c r="H1" s="19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2" t="str">
        <x:v>Metric</x:v>
      </x:c>
      <x:c r="B3" s="33" t="str">
        <x:v>Value</x:v>
      </x:c>
      <x:c r="C3" s="31"/>
      <x:c r="D3" s="32" t="str">
        <x:v>Genre</x:v>
      </x:c>
      <x:c r="E3" s="33" t="str">
        <x:v>Scenes</x:v>
      </x:c>
      <x:c r="F3" s="31"/>
      <x:c r="G3" s="31"/>
      <x:c r="H3" s="31"/>
    </x:row>
    <x:row r="4">
      <x:c r="A4" s="34" t="str">
        <x:v>Total scenes</x:v>
      </x:c>
      <x:c r="B4" s="35" t="n">
        <x:f>COUNTA('Scene Catalog'!$A$2:$A$241)</x:f>
        <x:v>240</x:v>
      </x:c>
      <x:c r="C4" s="31"/>
      <x:c r="D4" s="34" t="str">
        <x:v>学園・青春</x:v>
      </x:c>
      <x:c r="E4" s="35" t="n">
        <x:f>COUNTIF('Scene Catalog'!$B$2:$B$241,D4)</x:f>
        <x:v>8</x:v>
      </x:c>
      <x:c r="F4" s="31"/>
      <x:c r="G4" s="31"/>
      <x:c r="H4" s="31"/>
    </x:row>
    <x:row r="5">
      <x:c r="A5" s="34" t="str">
        <x:v>Upload file count</x:v>
      </x:c>
      <x:c r="B5" s="35" t="n">
        <x:v>5</x:v>
      </x:c>
      <x:c r="C5" s="31"/>
      <x:c r="D5" s="34" t="str">
        <x:v>BL・GL起点</x:v>
      </x:c>
      <x:c r="E5" s="35" t="n">
        <x:f>COUNTIF('Scene Catalog'!$B$2:$B$241,D5)</x:f>
        <x:v>8</x:v>
      </x:c>
      <x:c r="F5" s="31"/>
      <x:c r="G5" s="31"/>
      <x:c r="H5" s="31"/>
    </x:row>
    <x:row r="6">
      <x:c r="A6" s="36" t="str">
        <x:v>Default level</x:v>
      </x:c>
      <x:c r="B6" s="37" t="str">
        <x:v>ふつう</x:v>
      </x:c>
      <x:c r="C6" s="31"/>
      <x:c r="D6" s="34" t="str">
        <x:v>執愛・狂愛</x:v>
      </x:c>
      <x:c r="E6" s="35" t="n">
        <x:f>COUNTIF('Scene Catalog'!$B$2:$B$241,D6)</x:f>
        <x:v>8</x:v>
      </x:c>
      <x:c r="F6" s="31"/>
      <x:c r="G6" s="31"/>
      <x:c r="H6" s="31"/>
    </x:row>
    <x:row r="7">
      <x:c r="A7" s="31"/>
      <x:c r="B7" s="31"/>
      <x:c r="C7" s="31"/>
      <x:c r="D7" s="34" t="str">
        <x:v>専門職</x:v>
      </x:c>
      <x:c r="E7" s="35" t="n">
        <x:f>COUNTIF('Scene Catalog'!$B$2:$B$241,D7)</x:f>
        <x:v>8</x:v>
      </x:c>
      <x:c r="F7" s="31"/>
      <x:c r="G7" s="31"/>
      <x:c r="H7" s="31"/>
    </x:row>
    <x:row r="8">
      <x:c r="A8" s="31"/>
      <x:c r="B8" s="31"/>
      <x:c r="C8" s="31"/>
      <x:c r="D8" s="34" t="str">
        <x:v>マルチキャラ</x:v>
      </x:c>
      <x:c r="E8" s="35" t="n">
        <x:f>COUNTIF('Scene Catalog'!$B$2:$B$241,D8)</x:f>
        <x:v>8</x:v>
      </x:c>
      <x:c r="F8" s="31"/>
      <x:c r="G8" s="31"/>
      <x:c r="H8" s="31"/>
    </x:row>
    <x:row r="9">
      <x:c r="A9" s="31"/>
      <x:c r="B9" s="31"/>
      <x:c r="C9" s="31"/>
      <x:c r="D9" s="34" t="str">
        <x:v>裏社会</x:v>
      </x:c>
      <x:c r="E9" s="35" t="n">
        <x:f>COUNTIF('Scene Catalog'!$B$2:$B$241,D9)</x:f>
        <x:v>8</x:v>
      </x:c>
      <x:c r="F9" s="31"/>
      <x:c r="G9" s="31"/>
      <x:c r="H9" s="31"/>
    </x:row>
    <x:row r="10">
      <x:c r="A10" s="31"/>
      <x:c r="B10" s="31"/>
      <x:c r="C10" s="31"/>
      <x:c r="D10" s="34" t="str">
        <x:v>現代ファンタジー</x:v>
      </x:c>
      <x:c r="E10" s="35" t="n">
        <x:f>COUNTIF('Scene Catalog'!$B$2:$B$241,D10)</x:f>
        <x:v>8</x:v>
      </x:c>
      <x:c r="F10" s="31"/>
      <x:c r="G10" s="31"/>
      <x:c r="H10" s="31"/>
    </x:row>
    <x:row r="11">
      <x:c r="A11" s="31"/>
      <x:c r="B11" s="31"/>
      <x:c r="C11" s="31"/>
      <x:c r="D11" s="34" t="str">
        <x:v>異種族</x:v>
      </x:c>
      <x:c r="E11" s="35" t="n">
        <x:f>COUNTIF('Scene Catalog'!$B$2:$B$241,D11)</x:f>
        <x:v>8</x:v>
      </x:c>
      <x:c r="F11" s="31"/>
      <x:c r="G11" s="31"/>
      <x:c r="H11" s="31"/>
    </x:row>
    <x:row r="12">
      <x:c r="A12" s="31"/>
      <x:c r="B12" s="31"/>
      <x:c r="C12" s="31"/>
      <x:c r="D12" s="34" t="str">
        <x:v>現代オフィス</x:v>
      </x:c>
      <x:c r="E12" s="35" t="n">
        <x:f>COUNTIF('Scene Catalog'!$B$2:$B$241,D12)</x:f>
        <x:v>22</x:v>
      </x:c>
      <x:c r="F12" s="31"/>
      <x:c r="G12" s="31"/>
      <x:c r="H12" s="31"/>
    </x:row>
    <x:row r="13">
      <x:c r="A13" s="31"/>
      <x:c r="B13" s="31"/>
      <x:c r="C13" s="31"/>
      <x:c r="D13" s="34" t="str">
        <x:v>医療・ケア</x:v>
      </x:c>
      <x:c r="E13" s="35" t="n">
        <x:f>COUNTIF('Scene Catalog'!$B$2:$B$241,D13)</x:f>
        <x:v>22</x:v>
      </x:c>
      <x:c r="F13" s="31"/>
      <x:c r="G13" s="31"/>
      <x:c r="H13" s="31"/>
    </x:row>
    <x:row r="14">
      <x:c r="A14" s="31"/>
      <x:c r="B14" s="31"/>
      <x:c r="C14" s="31"/>
      <x:c r="D14" s="34" t="str">
        <x:v>法律・公共</x:v>
      </x:c>
      <x:c r="E14" s="35" t="n">
        <x:f>COUNTIF('Scene Catalog'!$B$2:$B$241,D14)</x:f>
        <x:v>22</x:v>
      </x:c>
      <x:c r="F14" s="31"/>
      <x:c r="G14" s="31"/>
      <x:c r="H14" s="31"/>
    </x:row>
    <x:row r="15">
      <x:c r="A15" s="31"/>
      <x:c r="B15" s="31"/>
      <x:c r="C15" s="31"/>
      <x:c r="D15" s="34" t="str">
        <x:v>芸能・クリエイター</x:v>
      </x:c>
      <x:c r="E15" s="35" t="n">
        <x:f>COUNTIF('Scene Catalog'!$B$2:$B$241,D15)</x:f>
        <x:v>22</x:v>
      </x:c>
      <x:c r="F15" s="31"/>
      <x:c r="G15" s="31"/>
      <x:c r="H15" s="31"/>
    </x:row>
    <x:row r="16">
      <x:c r="A16" s="31"/>
      <x:c r="B16" s="31"/>
      <x:c r="C16" s="31"/>
      <x:c r="D16" s="34" t="str">
        <x:v>接客・サービス</x:v>
      </x:c>
      <x:c r="E16" s="35" t="n">
        <x:f>COUNTIF('Scene Catalog'!$B$2:$B$241,D16)</x:f>
        <x:v>22</x:v>
      </x:c>
      <x:c r="F16" s="31"/>
      <x:c r="G16" s="31"/>
      <x:c r="H16" s="31"/>
    </x:row>
    <x:row r="17">
      <x:c r="A17" s="31"/>
      <x:c r="B17" s="31"/>
      <x:c r="C17" s="31"/>
      <x:c r="D17" s="34" t="str">
        <x:v>現代恋愛・再会</x:v>
      </x:c>
      <x:c r="E17" s="35" t="n">
        <x:f>COUNTIF('Scene Catalog'!$B$2:$B$241,D17)</x:f>
        <x:v>22</x:v>
      </x:c>
      <x:c r="F17" s="31"/>
      <x:c r="G17" s="31"/>
      <x:c r="H17" s="31"/>
    </x:row>
    <x:row r="18">
      <x:c r="A18" s="31"/>
      <x:c r="B18" s="31"/>
      <x:c r="C18" s="31"/>
      <x:c r="D18" s="34" t="str">
        <x:v>家族・近隣・日常</x:v>
      </x:c>
      <x:c r="E18" s="35" t="n">
        <x:f>COUNTIF('Scene Catalog'!$B$2:$B$241,D18)</x:f>
        <x:v>22</x:v>
      </x:c>
      <x:c r="F18" s="31"/>
      <x:c r="G18" s="31"/>
      <x:c r="H18" s="31"/>
    </x:row>
    <x:row r="19">
      <x:c r="A19" s="31"/>
      <x:c r="B19" s="31"/>
      <x:c r="C19" s="31"/>
      <x:c r="D19" s="36" t="str">
        <x:v>旅行・イベント</x:v>
      </x:c>
      <x:c r="E19" s="37" t="n">
        <x:f>COUNTIF('Scene Catalog'!$B$2:$B$241,D19)</x:f>
        <x:v>22</x:v>
      </x:c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>
      <x:c r="A21" s="31"/>
      <x:c r="B21" s="31"/>
      <x:c r="C21" s="31"/>
      <x:c r="D21" s="31"/>
      <x:c r="E21" s="31"/>
      <x:c r="F21" s="31"/>
      <x:c r="G21" s="31"/>
      <x:c r="H21" s="31"/>
    </x:row>
    <x:row r="22">
      <x:c r="A22" s="38" t="str">
        <x:v>Start with one sentence</x:v>
      </x:c>
      <x:c r="B22" s="38"/>
      <x:c r="C22" s="38"/>
      <x:c r="D22" s="38"/>
      <x:c r="E22" s="38"/>
      <x:c r="F22" s="38"/>
      <x:c r="G22" s="38"/>
      <x:c r="H22" s="38"/>
    </x:row>
    <x:row r="23">
      <x:c r="A23" s="39" t="str">
        <x:v>Hi.</x:v>
      </x:c>
      <x:c r="B23" s="39"/>
      <x:c r="C23" s="39"/>
      <x:c r="D23" s="39"/>
      <x:c r="E23" s="39"/>
      <x:c r="F23" s="39"/>
      <x:c r="G23" s="39"/>
      <x:c r="H23" s="39"/>
    </x:row>
    <x:row r="24">
      <x:c r="A24" s="39" t="str">
        <x:v>仕事もの</x:v>
      </x:c>
      <x:c r="B24" s="39"/>
      <x:c r="C24" s="39"/>
      <x:c r="D24" s="39"/>
      <x:c r="E24" s="39"/>
      <x:c r="F24" s="39"/>
      <x:c r="G24" s="39"/>
      <x:c r="H24" s="39"/>
    </x:row>
    <x:row r="25">
      <x:c r="A25" s="39" t="str">
        <x:v>現代恋愛、ふつう、女性一人と話す</x:v>
      </x:c>
      <x:c r="B25" s="39"/>
      <x:c r="C25" s="39"/>
      <x:c r="D25" s="39"/>
      <x:c r="E25" s="39"/>
      <x:c r="F25" s="39"/>
      <x:c r="G25" s="39"/>
      <x:c r="H25" s="39"/>
    </x:row>
    <x:row r="26">
      <x:c r="A26" s="39" t="str">
        <x:v>医療か法律、緊張感は低め</x:v>
      </x:c>
      <x:c r="B26" s="39"/>
      <x:c r="C26" s="39"/>
      <x:c r="D26" s="39"/>
      <x:c r="E26" s="39"/>
      <x:c r="F26" s="39"/>
      <x:c r="G26" s="39"/>
      <x:c r="H26" s="39"/>
    </x:row>
    <x:row r="27">
      <x:c r="A27" s="39" t="str">
        <x:v>異種族、ふつう、短め</x:v>
      </x:c>
      <x:c r="B27" s="39"/>
      <x:c r="C27" s="39"/>
      <x:c r="D27" s="39"/>
      <x:c r="E27" s="39"/>
      <x:c r="F27" s="39"/>
      <x:c r="G27" s="39"/>
      <x:c r="H27" s="39"/>
    </x:row>
    <x:row r="28">
      <x:c r="A28" s="39" t="str">
        <x:v>裏社会、しっかり、交渉中心</x:v>
      </x:c>
      <x:c r="B28" s="39"/>
      <x:c r="C28" s="39"/>
      <x:c r="D28" s="39"/>
      <x:c r="E28" s="39"/>
      <x:c r="F28" s="39"/>
      <x:c r="G28" s="39"/>
      <x:c r="H28" s="39"/>
    </x:row>
    <x:row r="29">
      <x:c r="A29" s="39" t="str">
        <x:v>マルチキャラ、前回と違うもの</x:v>
      </x:c>
      <x:c r="B29" s="39"/>
      <x:c r="C29" s="39"/>
      <x:c r="D29" s="39"/>
      <x:c r="E29" s="39"/>
      <x:c r="F29" s="39"/>
      <x:c r="G29" s="39"/>
      <x:c r="H29" s="39"/>
    </x:row>
    <x:row r="30">
      <x:c r="A30" s="31"/>
      <x:c r="B30" s="31"/>
      <x:c r="C30" s="31"/>
      <x:c r="D30" s="31"/>
      <x:c r="E30" s="31"/>
      <x:c r="F30" s="31"/>
      <x:c r="G30" s="31"/>
      <x:c r="H30" s="31"/>
    </x:row>
    <x:row r="31">
      <x:c r="A31" s="40" t="str">
        <x:v>Files: 00 map → 01 catalog → 02 cards → 03 rules → 04 rationale</x:v>
      </x:c>
      <x:c r="B31" s="40"/>
      <x:c r="C31" s="40"/>
      <x:c r="D31" s="40"/>
      <x:c r="E31" s="40"/>
      <x:c r="F31" s="40"/>
      <x:c r="G31" s="40"/>
      <x:c r="H31" s="40"/>
    </x:row>
    <x:row r="32">
      <x:c r="A32" s="31"/>
      <x:c r="B32" s="31"/>
      <x:c r="C32" s="31"/>
      <x:c r="D32" s="31"/>
      <x:c r="E32" s="31"/>
      <x:c r="F32" s="31"/>
      <x:c r="G32" s="31"/>
      <x:c r="H32" s="31"/>
    </x:row>
    <x:row r="33">
      <x:c r="A33" s="41" t="str">
        <x:v>Voice-first roleplay: one stable counterpart, clear prompts, and immediate English conversation.</x:v>
      </x:c>
      <x:c r="B33" s="41"/>
      <x:c r="C33" s="41"/>
      <x:c r="D33" s="41"/>
      <x:c r="E33" s="41"/>
      <x:c r="F33" s="41"/>
      <x:c r="G33" s="41"/>
      <x:c r="H33" s="41"/>
    </x:row>
  </x:sheetData>
  <x:mergeCells>
    <x:mergeCell ref="A1:H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1:H31"/>
    <x:mergeCell ref="A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4" hidden="0" customWidth="1"/>
    <x:col min="5" max="5" width="48" hidden="0" customWidth="1"/>
    <x:col min="6" max="6" width="36" hidden="0" customWidth="1"/>
    <x:col min="7" max="7" width="38" hidden="0" customWidth="1"/>
    <x:col min="8" max="8" width="14" hidden="0" customWidth="1"/>
    <x:col min="9" max="9" width="30" hidden="0" customWidth="1"/>
    <x:col min="10" max="10" width="12" hidden="0" customWidth="1"/>
    <x:col min="11" max="11" width="14" hidden="0" customWidth="1"/>
    <x:col min="12" max="12" width="34" hidden="0" customWidth="1"/>
    <x:col min="13" max="13" width="34" hidden="0" customWidth="1"/>
    <x:col min="14" max="14" width="32" hidden="0" customWidth="1"/>
    <x:col min="15" max="15" width="22" hidden="0" customWidth="1"/>
    <x:col min="16" max="16" width="9" hidden="0" customWidth="1"/>
    <x:col min="17" max="17" width="42" hidden="0" customWidth="1"/>
    <x:col min="18" max="18" width="42" hidden="0" customWidth="1"/>
    <x:col min="19" max="19" width="10" hidden="0" customWidth="1"/>
    <x:col min="20" max="20" width="28" hidden="0" customWidth="1"/>
  </x:cols>
  <x:sheetData>
    <x:row r="1" ht="30" customHeight="1">
      <x:c r="A1" s="48" t="str">
        <x:v>Scene ID</x:v>
      </x:c>
      <x:c r="B1" s="48" t="str">
        <x:v>Genre</x:v>
      </x:c>
      <x:c r="C1" s="48" t="str">
        <x:v>English Title</x:v>
      </x:c>
      <x:c r="D1" s="48" t="str">
        <x:v>Japanese Title</x:v>
      </x:c>
      <x:c r="E1" s="48" t="str">
        <x:v>World</x:v>
      </x:c>
      <x:c r="F1" s="48" t="str">
        <x:v>You Are</x:v>
      </x:c>
      <x:c r="G1" s="48" t="str">
        <x:v>Primary Counterpart</x:v>
      </x:c>
      <x:c r="H1" s="48" t="str">
        <x:v>Recommended Voice</x:v>
      </x:c>
      <x:c r="I1" s="48" t="str">
        <x:v>Voice Fit</x:v>
      </x:c>
      <x:c r="J1" s="48" t="str">
        <x:v>Internal Level</x:v>
      </x:c>
      <x:c r="K1" s="48" t="str">
        <x:v>Displayed Level</x:v>
      </x:c>
      <x:c r="L1" s="48" t="str">
        <x:v>Level Support</x:v>
      </x:c>
      <x:c r="M1" s="48" t="str">
        <x:v>Primary Skill</x:v>
      </x:c>
      <x:c r="N1" s="48" t="str">
        <x:v>Mechanics</x:v>
      </x:c>
      <x:c r="O1" s="48" t="str">
        <x:v>Tone</x:v>
      </x:c>
      <x:c r="P1" s="48" t="str">
        <x:v>Minutes</x:v>
      </x:c>
      <x:c r="Q1" s="48" t="str">
        <x:v>Immediate Goal</x:v>
      </x:c>
      <x:c r="R1" s="48" t="str">
        <x:v>Stakes</x:v>
      </x:c>
      <x:c r="S1" s="48" t="str">
        <x:v>Risk</x:v>
      </x:c>
      <x:c r="T1" s="48" t="str">
        <x:v>Card Anchor</x:v>
      </x:c>
    </x:row>
    <x:row r="2" ht="44" customHeight="1">
      <x:c r="A2" s="49" t="str">
        <x:v>A01</x:v>
      </x:c>
      <x:c r="B2" s="49" t="str">
        <x:v>学園・青春</x:v>
      </x:c>
      <x:c r="C2" s="49" t="str">
        <x:v>The Dragon-Rider Election</x:v>
      </x:c>
      <x:c r="D2" s="49" t="str">
        <x:v>竜騎士学園の選挙</x:v>
      </x:c>
      <x:c r="E2" s="49" t="str">
        <x:v>A cliffside academy where students bond with dragons and elect one student to command the graduating flight.</x:v>
      </x:c>
      <x:c r="F2" s="49" t="str">
        <x:v>A candidate whose young dragon rejected the ceremonial saddle.</x:v>
      </x:c>
      <x:c r="G2" s="49" t="str">
        <x:v>Seris: strict election chair</x:v>
      </x:c>
      <x:c r="H2" s="49" t="str">
        <x:v>Breeze</x:v>
      </x:c>
      <x:c r="I2" s="49" t="str">
        <x:v>表情豊かで真剣。緊迫、怪異、冒険に合う</x:v>
      </x:c>
      <x:c r="J2" s="49" t="str">
        <x:v>B1–B2</x:v>
      </x:c>
      <x:c r="K2" s="49" t="str">
        <x:v>ふつう</x:v>
      </x:c>
      <x:c r="L2" s="49" t="str">
        <x:v>2〜3文で自然に受け答え</x:v>
      </x:c>
      <x:c r="M2" s="49" t="str">
        <x:v>Persuasion and answering hostile questions</x:v>
      </x:c>
      <x:c r="N2" s="49" t="str">
        <x:v>rivalry; status; public debate</x:v>
      </x:c>
      <x:c r="O2" s="49" t="str">
        <x:v>tense but witty</x:v>
      </x:c>
      <x:c r="P2" s="51" t="n">
        <x:v>12</x:v>
      </x:c>
      <x:c r="Q2" s="49" t="str">
        <x:v>The final debate begins while the whole academy watches from the aerial arena.</x:v>
      </x:c>
      <x:c r="R2" s="49" t="str">
        <x:v>Seris may disqualify you unless you explain why Brim's refusal proves judgment rather than incompetence.</x:v>
      </x:c>
      <x:c r="S2" s="49" t="str">
        <x:v>Green</x:v>
      </x:c>
      <x:c r="T2" s="49" t="str">
        <x:v>IES_v7_02_SCENE_CARDS.md#A01</x:v>
      </x:c>
    </x:row>
    <x:row r="3" ht="44" customHeight="1">
      <x:c r="A3" s="49" t="str">
        <x:v>A02</x:v>
      </x:c>
      <x:c r="B3" s="49" t="str">
        <x:v>学園・青春</x:v>
      </x:c>
      <x:c r="C3" s="49" t="str">
        <x:v>Answers from the Dead</x:v>
      </x:c>
      <x:c r="D3" s="49" t="str">
        <x:v>死者が教える試験答案</x:v>
      </x:c>
      <x:c r="E3" s="49" t="str">
        <x:v>A candlelit examination hall built over a cemetery; certain exam papers answer back in the voices of former students.</x:v>
      </x:c>
      <x:c r="F3" s="49" t="str">
        <x:v>A student accused of cheating after a ghost corrected your essay.</x:v>
      </x:c>
      <x:c r="G3" s="49" t="str">
        <x:v>Ivy: anxious ghost</x:v>
      </x:c>
      <x:c r="H3" s="49" t="str">
        <x:v>Breeze</x:v>
      </x:c>
      <x:c r="I3" s="49" t="str">
        <x:v>表情豊かで真剣。緊迫、怪異、冒険に合う</x:v>
      </x:c>
      <x:c r="J3" s="49" t="str">
        <x:v>A2–B1</x:v>
      </x:c>
      <x:c r="K3" s="49" t="str">
        <x:v>やさしい</x:v>
      </x:c>
      <x:c r="L3" s="49" t="str">
        <x:v>短い返事でOK。選択肢や言い換えあり</x:v>
      </x:c>
      <x:c r="M3" s="49" t="str">
        <x:v>Clarifying facts and giving evidence</x:v>
      </x:c>
      <x:c r="N3" s="49" t="str">
        <x:v>mystery; accusation; supernatural rule</x:v>
      </x:c>
      <x:c r="O3" s="49" t="str">
        <x:v>eerie and procedural</x:v>
      </x:c>
      <x:c r="P3" s="51" t="n">
        <x:v>10</x:v>
      </x:c>
      <x:c r="Q3" s="49" t="str">
        <x:v>Your paper contains a paragraph in handwriting that is not yours.</x:v>
      </x:c>
      <x:c r="R3" s="49" t="str">
        <x:v>Maelin will fail you unless you establish who wrote it and whether you invited the help.</x:v>
      </x:c>
      <x:c r="S3" s="49" t="str">
        <x:v>Green</x:v>
      </x:c>
      <x:c r="T3" s="49" t="str">
        <x:v>IES_v7_02_SCENE_CARDS.md#A02</x:v>
      </x:c>
    </x:row>
    <x:row r="4" ht="44" customHeight="1">
      <x:c r="A4" s="49" t="str">
        <x:v>A03</x:v>
      </x:c>
      <x:c r="B4" s="49" t="str">
        <x:v>学園・青春</x:v>
      </x:c>
      <x:c r="C4" s="49" t="str">
        <x:v>The Orchestra That Casts Spells</x:v>
      </x:c>
      <x:c r="D4" s="49" t="str">
        <x:v>魔法を奏でる楽団</x:v>
      </x:c>
      <x:c r="E4" s="49" t="str">
        <x:v>A conservatory where orchestras shape weather and architecture through live performance.</x:v>
      </x:c>
      <x:c r="F4" s="49" t="str">
        <x:v>The substitute conductor moments before a storm-calming concert.</x:v>
      </x:c>
      <x:c r="G4" s="49" t="str">
        <x:v>Liora: proud first violin</x:v>
      </x:c>
      <x:c r="H4" s="49" t="str">
        <x:v>Breeze</x:v>
      </x:c>
      <x:c r="I4" s="49" t="str">
        <x:v>表情豊かで真剣。緊迫、怪異、冒険に合う</x:v>
      </x:c>
      <x:c r="J4" s="49" t="str">
        <x:v>B1–B2</x:v>
      </x:c>
      <x:c r="K4" s="49" t="str">
        <x:v>ふつう</x:v>
      </x:c>
      <x:c r="L4" s="49" t="str">
        <x:v>2〜3文で自然に受け答え</x:v>
      </x:c>
      <x:c r="M4" s="49" t="str">
        <x:v>Giving precise instructions and resolving disagreement</x:v>
      </x:c>
      <x:c r="N4" s="49" t="str">
        <x:v>team coordination; magical performance; rivalry</x:v>
      </x:c>
      <x:c r="O4" s="49" t="str">
        <x:v>urgent and artistic</x:v>
      </x:c>
      <x:c r="P4" s="51" t="n">
        <x:v>12</x:v>
      </x:c>
      <x:c r="Q4" s="49" t="str">
        <x:v>The regular conductor has vanished, and the storm outside is responding to every wrong note.</x:v>
      </x:c>
      <x:c r="R4" s="49" t="str">
        <x:v>Liora and Dain demand opposite tempos while Nix refuses to play without an apology.</x:v>
      </x:c>
      <x:c r="S4" s="49" t="str">
        <x:v>Green</x:v>
      </x:c>
      <x:c r="T4" s="49" t="str">
        <x:v>IES_v7_02_SCENE_CARDS.md#A03</x:v>
      </x:c>
    </x:row>
    <x:row r="5" ht="44" customHeight="1">
      <x:c r="A5" s="49" t="str">
        <x:v>A04</x:v>
      </x:c>
      <x:c r="B5" s="49" t="str">
        <x:v>学園・青春</x:v>
      </x:c>
      <x:c r="C5" s="49" t="str">
        <x:v>Curfew for a Shapeshifter</x:v>
      </x:c>
      <x:c r="D5" s="49" t="str">
        <x:v>変身者のいる寮の門限</x:v>
      </x:c>
      <x:c r="E5" s="49" t="str">
        <x:v>A moonlit boarding school whose dormitory locks itself when an unregistered shape enters.</x:v>
      </x:c>
      <x:c r="F5" s="49" t="str">
        <x:v>A prefect responsible for accounting for every resident.</x:v>
      </x:c>
      <x:c r="G5" s="49" t="str">
        <x:v>Orla: suspicious warden</x:v>
      </x:c>
      <x:c r="H5" s="49" t="str">
        <x:v>Vale</x:v>
      </x:c>
      <x:c r="I5" s="49" t="str">
        <x:v>明るく好奇心がある。知的な対話や謎解きに合う</x:v>
      </x:c>
      <x:c r="J5" s="49" t="str">
        <x:v>B1–B2</x:v>
      </x:c>
      <x:c r="K5" s="49" t="str">
        <x:v>ふつう</x:v>
      </x:c>
      <x:c r="L5" s="49" t="str">
        <x:v>2〜3文で自然に受け答え</x:v>
      </x:c>
      <x:c r="M5" s="49" t="str">
        <x:v>Interviewing and comparing accounts</x:v>
      </x:c>
      <x:c r="N5" s="49" t="str">
        <x:v>hidden identity; alibi; closed-room tension</x:v>
      </x:c>
      <x:c r="O5" s="49" t="str">
        <x:v>suspicious but nonviolent</x:v>
      </x:c>
      <x:c r="P5" s="51" t="n">
        <x:v>12</x:v>
      </x:c>
      <x:c r="Q5" s="49" t="str">
        <x:v>The dormitory seals all exits at midnight because it counts one person too many.</x:v>
      </x:c>
      <x:c r="R5" s="49" t="str">
        <x:v>Orla wants you to accuse someone immediately; a wrong accusation will erase the innocent student's face for a day.</x:v>
      </x:c>
      <x:c r="S5" s="49" t="str">
        <x:v>Green</x:v>
      </x:c>
      <x:c r="T5" s="49" t="str">
        <x:v>IES_v7_02_SCENE_CARDS.md#A04</x:v>
      </x:c>
    </x:row>
    <x:row r="6" ht="44" customHeight="1">
      <x:c r="A6" s="49" t="str">
        <x:v>A05</x:v>
      </x:c>
      <x:c r="B6" s="49" t="str">
        <x:v>学園・青春</x:v>
      </x:c>
      <x:c r="C6" s="49" t="str">
        <x:v>Alchemy of Borrowed Feelings</x:v>
      </x:c>
      <x:c r="D6" s="49" t="str">
        <x:v>感情を借りる錬金術</x:v>
      </x:c>
      <x:c r="E6" s="49" t="str">
        <x:v>An alchemy school where emotions can be distilled, exchanged, and accidentally spilled.</x:v>
      </x:c>
      <x:c r="F6" s="49" t="str">
        <x:v>The student who knocked over an experimental vial.</x:v>
      </x:c>
      <x:c r="G6" s="49" t="str">
        <x:v>Vera: controlled but furious</x:v>
      </x:c>
      <x:c r="H6" s="49" t="str">
        <x:v>Maple</x:v>
      </x:c>
      <x:c r="I6" s="49" t="str">
        <x:v>朗らかで率直。軽快、日常、サービス場面に合う</x:v>
      </x:c>
      <x:c r="J6" s="49" t="str">
        <x:v>A2–B2</x:v>
      </x:c>
      <x:c r="K6" s="49" t="str">
        <x:v>やさしい</x:v>
      </x:c>
      <x:c r="L6" s="49" t="str">
        <x:v>短い返事でOK。選択肢や言い換えあり</x:v>
      </x:c>
      <x:c r="M6" s="49" t="str">
        <x:v>Describing feelings and apologizing effectively</x:v>
      </x:c>
      <x:c r="N6" s="49" t="str">
        <x:v>emotion swap; rivalry; repair</x:v>
      </x:c>
      <x:c r="O6" s="49" t="str">
        <x:v>comic with real stakes</x:v>
      </x:c>
      <x:c r="P6" s="51" t="n">
        <x:v>10</x:v>
      </x:c>
      <x:c r="Q6" s="49" t="str">
        <x:v>Everyone in the laboratory is experiencing the wrong person's emotion.</x:v>
      </x:c>
      <x:c r="R6" s="49" t="str">
        <x:v>The antidote only works if each person accurately identifies what they feel and whose feeling it is.</x:v>
      </x:c>
      <x:c r="S6" s="49" t="str">
        <x:v>Green</x:v>
      </x:c>
      <x:c r="T6" s="49" t="str">
        <x:v>IES_v7_02_SCENE_CARDS.md#A05</x:v>
      </x:c>
    </x:row>
    <x:row r="7" ht="44" customHeight="1">
      <x:c r="A7" s="49" t="str">
        <x:v>A06</x:v>
      </x:c>
      <x:c r="B7" s="49" t="str">
        <x:v>学園・青春</x:v>
      </x:c>
      <x:c r="C7" s="49" t="str">
        <x:v>The Seventh Final Festival</x:v>
      </x:c>
      <x:c r="D7" s="49" t="str">
        <x:v>七回目の卒業祭</x:v>
      </x:c>
      <x:c r="E7" s="49" t="str">
        <x:v>A traditional academy festival trapped in a seven-hour time loop that only two students remember.</x:v>
      </x:c>
      <x:c r="F7" s="49" t="str">
        <x:v>One of the two loop-aware students.</x:v>
      </x:c>
      <x:c r="G7" s="49" t="str">
        <x:v>Mio: exhausted friend</x:v>
      </x:c>
      <x:c r="H7" s="49" t="str">
        <x:v>Vale</x:v>
      </x:c>
      <x:c r="I7" s="49" t="str">
        <x:v>明るく好奇心がある。知的な対話や謎解きに合う</x:v>
      </x:c>
      <x:c r="J7" s="49" t="str">
        <x:v>B1–C1</x:v>
      </x:c>
      <x:c r="K7" s="49" t="str">
        <x:v>ふつう</x:v>
      </x:c>
      <x:c r="L7" s="49" t="str">
        <x:v>2〜3文で自然に受け答え</x:v>
      </x:c>
      <x:c r="M7" s="49" t="str">
        <x:v>Explaining patterns and testing hypotheses</x:v>
      </x:c>
      <x:c r="N7" s="49" t="str">
        <x:v>time loop; hidden motive; trust</x:v>
      </x:c>
      <x:c r="O7" s="49" t="str">
        <x:v>melancholic mystery</x:v>
      </x:c>
      <x:c r="P7" s="51" t="n">
        <x:v>15</x:v>
      </x:c>
      <x:c r="Q7" s="49" t="str">
        <x:v>The festival has restarted for the seventh time, but one small detail changes in every loop.</x:v>
      </x:c>
      <x:c r="R7" s="49" t="str">
        <x:v>Mio wants to destroy the bell; the headmaster asks you to let the loop continue once more.</x:v>
      </x:c>
      <x:c r="S7" s="49" t="str">
        <x:v>Green</x:v>
      </x:c>
      <x:c r="T7" s="49" t="str">
        <x:v>IES_v7_02_SCENE_CARDS.md#A06</x:v>
      </x:c>
    </x:row>
    <x:row r="8" ht="44" customHeight="1">
      <x:c r="A8" s="49" t="str">
        <x:v>A07</x:v>
      </x:c>
      <x:c r="B8" s="49" t="str">
        <x:v>学園・青春</x:v>
      </x:c>
      <x:c r="C8" s="49" t="str">
        <x:v>Trial by Tea Etiquette</x:v>
      </x:c>
      <x:c r="D8" s="49" t="str">
        <x:v>茶会作法の決闘</x:v>
      </x:c>
      <x:c r="E8" s="49" t="str">
        <x:v>An imperial academy where disputes are judged through formal tea ceremonies and every breach of etiquette counts as a concession.</x:v>
      </x:c>
      <x:c r="F8" s="49" t="str">
        <x:v>A scholarship student challenged by a noble classmate.</x:v>
      </x:c>
      <x:c r="G8" s="49" t="str">
        <x:v>Orelle: elegant challenger</x:v>
      </x:c>
      <x:c r="H8" s="49" t="str">
        <x:v>Sol</x:v>
      </x:c>
      <x:c r="I8" s="49" t="str">
        <x:v>こなれて落ち着く。交渉、駆け引き、仕事に合う</x:v>
      </x:c>
      <x:c r="J8" s="49" t="str">
        <x:v>B2–C1</x:v>
      </x:c>
      <x:c r="K8" s="49" t="str">
        <x:v>しっかり</x:v>
      </x:c>
      <x:c r="L8" s="49" t="str">
        <x:v>理由説明や交渉まで</x:v>
      </x:c>
      <x:c r="M8" s="49" t="str">
        <x:v>Formal requests, tact, and recovering from mistakes</x:v>
      </x:c>
      <x:c r="N8" s="49" t="str">
        <x:v>status gap; ritual duel; social inference</x:v>
      </x:c>
      <x:c r="O8" s="49" t="str">
        <x:v>formal and sharp</x:v>
      </x:c>
      <x:c r="P8" s="51" t="n">
        <x:v>12</x:v>
      </x:c>
      <x:c r="Q8" s="49" t="str">
        <x:v>You must defend a friend without making a direct accusation.</x:v>
      </x:c>
      <x:c r="R8" s="49" t="str">
        <x:v>Orelle has designed the seating order to insult you before the first word is spoken.</x:v>
      </x:c>
      <x:c r="S8" s="49" t="str">
        <x:v>Green</x:v>
      </x:c>
      <x:c r="T8" s="49" t="str">
        <x:v>IES_v7_02_SCENE_CARDS.md#A07</x:v>
      </x:c>
    </x:row>
    <x:row r="9" ht="44" customHeight="1">
      <x:c r="A9" s="49" t="str">
        <x:v>A08</x:v>
      </x:c>
      <x:c r="B9" s="49" t="str">
        <x:v>学園・青春</x:v>
      </x:c>
      <x:c r="C9" s="49" t="str">
        <x:v>The Library Chooses Its Prefect</x:v>
      </x:c>
      <x:c r="D9" s="49" t="str">
        <x:v>図書館が選ぶ監督生</x:v>
      </x:c>
      <x:c r="E9" s="49" t="str">
        <x:v>A living labyrinth-library that interviews students and rearranges its shelves according to their honesty.</x:v>
      </x:c>
      <x:c r="F9" s="49" t="str">
        <x:v>A candidate for student librarian.</x:v>
      </x:c>
      <x:c r="G9" s="49" t="str">
        <x:v>Quinn: sarcastic book spirit</x:v>
      </x:c>
      <x:c r="H9" s="49" t="str">
        <x:v>Maple</x:v>
      </x:c>
      <x:c r="I9" s="49" t="str">
        <x:v>朗らかで率直。軽快、日常、サービス場面に合う</x:v>
      </x:c>
      <x:c r="J9" s="49" t="str">
        <x:v>A2–B2</x:v>
      </x:c>
      <x:c r="K9" s="49" t="str">
        <x:v>やさしい</x:v>
      </x:c>
      <x:c r="L9" s="49" t="str">
        <x:v>短い返事でOK。選択肢や言い換えあり</x:v>
      </x:c>
      <x:c r="M9" s="49" t="str">
        <x:v>Interview answers and asking follow-up questions</x:v>
      </x:c>
      <x:c r="N9" s="49" t="str">
        <x:v>living place; rivalry; truth test</x:v>
      </x:c>
      <x:c r="O9" s="49" t="str">
        <x:v>whimsical and probing</x:v>
      </x:c>
      <x:c r="P9" s="51" t="n">
        <x:v>10</x:v>
      </x:c>
      <x:c r="Q9" s="49" t="str">
        <x:v>The library asks why you want authority over books that can refuse readers.</x:v>
      </x:c>
      <x:c r="R9" s="49" t="str">
        <x:v>A vague answer makes the exit move farther away.</x:v>
      </x:c>
      <x:c r="S9" s="49" t="str">
        <x:v>Green</x:v>
      </x:c>
      <x:c r="T9" s="49" t="str">
        <x:v>IES_v7_02_SCENE_CARDS.md#A08</x:v>
      </x:c>
    </x:row>
    <x:row r="10" ht="44" customHeight="1">
      <x:c r="A10" s="49" t="str">
        <x:v>Q01</x:v>
      </x:c>
      <x:c r="B10" s="49" t="str">
        <x:v>BL・GL起点</x:v>
      </x:c>
      <x:c r="C10" s="49" t="str">
        <x:v>Prisoner Exchange at Dawn</x:v>
      </x:c>
      <x:c r="D10" s="49" t="str">
        <x:v>夜明けの捕虜交換</x:v>
      </x:c>
      <x:c r="E10" s="49" t="str">
        <x:v>A border fortress between two rival kingdoms during a fragile ceasefire.</x:v>
      </x:c>
      <x:c r="F10" s="49" t="str">
        <x:v>The knight authorized to exchange a captured royal heir.</x:v>
      </x:c>
      <x:c r="G10" s="49" t="str">
        <x:v>Aria: composed enemy heir</x:v>
      </x:c>
      <x:c r="H10" s="49" t="str">
        <x:v>Juniper</x:v>
      </x:c>
      <x:c r="I10" s="49" t="str">
        <x:v>開放的で明るい。相談、再会、親密な会話に合う</x:v>
      </x:c>
      <x:c r="J10" s="49" t="str">
        <x:v>B1–C1</x:v>
      </x:c>
      <x:c r="K10" s="49" t="str">
        <x:v>ふつう</x:v>
      </x:c>
      <x:c r="L10" s="49" t="str">
        <x:v>2〜3文で自然に受け答え</x:v>
      </x:c>
      <x:c r="M10" s="49" t="str">
        <x:v>Negotiating terms without revealing feelings</x:v>
      </x:c>
      <x:c r="N10" s="49" t="str">
        <x:v>enemy bond; duty; status gap</x:v>
      </x:c>
      <x:c r="O10" s="49" t="str">
        <x:v>restrained and intimate</x:v>
      </x:c>
      <x:c r="P10" s="51" t="n">
        <x:v>15</x:v>
      </x:c>
      <x:c r="Q10" s="49" t="str">
        <x:v>At dawn, each side must return one prisoner, but the enemy has brought the wrong person.</x:v>
      </x:c>
      <x:c r="R10" s="49" t="str">
        <x:v>Arden hints that the substitution was deliberate and asks you to trust them publicly.</x:v>
      </x:c>
      <x:c r="S10" s="49" t="str">
        <x:v>Amber</x:v>
      </x:c>
      <x:c r="T10" s="49" t="str">
        <x:v>IES_v7_02_SCENE_CARDS.md#Q01</x:v>
      </x:c>
    </x:row>
    <x:row r="11" ht="44" customHeight="1">
      <x:c r="A11" s="49" t="str">
        <x:v>Q02</x:v>
      </x:c>
      <x:c r="B11" s="49" t="str">
        <x:v>BL・GL起点</x:v>
      </x:c>
      <x:c r="C11" s="49" t="str">
        <x:v>Truce Above the Clouds</x:v>
      </x:c>
      <x:c r="D11" s="49" t="str">
        <x:v>雲上の休戦</x:v>
      </x:c>
      <x:c r="E11" s="49" t="str">
        <x:v>Two sky-pirate ships locked together above a permanent thunderstorm.</x:v>
      </x:c>
      <x:c r="F11" s="49" t="str">
        <x:v>Captain of one damaged airship.</x:v>
      </x:c>
      <x:c r="G11" s="49" t="str">
        <x:v>Mira: longtime rival</x:v>
      </x:c>
      <x:c r="H11" s="49" t="str">
        <x:v>Vale</x:v>
      </x:c>
      <x:c r="I11" s="49" t="str">
        <x:v>明るく好奇心がある。知的な対話や謎解きに合う</x:v>
      </x:c>
      <x:c r="J11" s="49" t="str">
        <x:v>B1–B2</x:v>
      </x:c>
      <x:c r="K11" s="49" t="str">
        <x:v>ふつう</x:v>
      </x:c>
      <x:c r="L11" s="49" t="str">
        <x:v>2〜3文で自然に受け答え</x:v>
      </x:c>
      <x:c r="M11" s="49" t="str">
        <x:v>Building a temporary alliance</x:v>
      </x:c>
      <x:c r="N11" s="49" t="str">
        <x:v>rivals; forced proximity; crew politics</x:v>
      </x:c>
      <x:c r="O11" s="49" t="str">
        <x:v>adventurous and charged</x:v>
      </x:c>
      <x:c r="P11" s="51" t="n">
        <x:v>12</x:v>
      </x:c>
      <x:c r="Q11" s="49" t="str">
        <x:v>Neither ship can escape the storm alone, and both crews blame the other.</x:v>
      </x:c>
      <x:c r="R11" s="49" t="str">
        <x:v>Mira proposes sharing one engine but refuses to surrender command.</x:v>
      </x:c>
      <x:c r="S11" s="49" t="str">
        <x:v>Green</x:v>
      </x:c>
      <x:c r="T11" s="49" t="str">
        <x:v>IES_v7_02_SCENE_CARDS.md#Q02</x:v>
      </x:c>
    </x:row>
    <x:row r="12" ht="44" customHeight="1">
      <x:c r="A12" s="49" t="str">
        <x:v>Q03</x:v>
      </x:c>
      <x:c r="B12" s="49" t="str">
        <x:v>BL・GL起点</x:v>
      </x:c>
      <x:c r="C12" s="49" t="str">
        <x:v>The Archivist Remembers You</x:v>
      </x:c>
      <x:c r="D12" s="49" t="str">
        <x:v>あなたを覚えている司書</x:v>
      </x:c>
      <x:c r="E12" s="49" t="str">
        <x:v>An infinite archive where every life becomes a book after death.</x:v>
      </x:c>
      <x:c r="F12" s="49" t="str">
        <x:v>A thief who entered to steal a record of your previous life.</x:v>
      </x:c>
      <x:c r="G12" s="49" t="str">
        <x:v>Serena: immortal archivist</x:v>
      </x:c>
      <x:c r="H12" s="49" t="str">
        <x:v>Breeze</x:v>
      </x:c>
      <x:c r="I12" s="49" t="str">
        <x:v>表情豊かで真剣。緊迫、怪異、冒険に合う</x:v>
      </x:c>
      <x:c r="J12" s="49" t="str">
        <x:v>B2–C1</x:v>
      </x:c>
      <x:c r="K12" s="49" t="str">
        <x:v>しっかり</x:v>
      </x:c>
      <x:c r="L12" s="49" t="str">
        <x:v>理由説明や交渉まで</x:v>
      </x:c>
      <x:c r="M12" s="49" t="str">
        <x:v>Responding to recognition and asking for truth</x:v>
      </x:c>
      <x:c r="N12" s="49" t="str">
        <x:v>reincarnation; reunion; hidden identity</x:v>
      </x:c>
      <x:c r="O12" s="49" t="str">
        <x:v>quiet and emotionally intense</x:v>
      </x:c>
      <x:c r="P12" s="51" t="n">
        <x:v>15</x:v>
      </x:c>
      <x:c r="Q12" s="49" t="str">
        <x:v>Serein calls you by a name you have never heard and claims you promised to return.</x:v>
      </x:c>
      <x:c r="R12" s="49" t="str">
        <x:v>The book you came to steal is already open to a page describing this conversation.</x:v>
      </x:c>
      <x:c r="S12" s="49" t="str">
        <x:v>Green</x:v>
      </x:c>
      <x:c r="T12" s="49" t="str">
        <x:v>IES_v7_02_SCENE_CARDS.md#Q03</x:v>
      </x:c>
    </x:row>
    <x:row r="13" ht="44" customHeight="1">
      <x:c r="A13" s="49" t="str">
        <x:v>Q04</x:v>
      </x:c>
      <x:c r="B13" s="49" t="str">
        <x:v>BL・GL起点</x:v>
      </x:c>
      <x:c r="C13" s="49" t="str">
        <x:v>Opera of Unwanted Truths</x:v>
      </x:c>
      <x:c r="D13" s="49" t="str">
        <x:v>本音しか歌えない歌劇</x:v>
      </x:c>
      <x:c r="E13" s="49" t="str">
        <x:v>A royal opera house under a curse: anyone on stage can speak only what they truly believe.</x:v>
      </x:c>
      <x:c r="F13" s="49" t="str">
        <x:v>One of the two lead performers.</x:v>
      </x:c>
      <x:c r="G13" s="49" t="str">
        <x:v>Cara: rival lead</x:v>
      </x:c>
      <x:c r="H13" s="49" t="str">
        <x:v>Maple</x:v>
      </x:c>
      <x:c r="I13" s="49" t="str">
        <x:v>朗らかで率直。軽快、日常、サービス場面に合う</x:v>
      </x:c>
      <x:c r="J13" s="49" t="str">
        <x:v>B1–C1</x:v>
      </x:c>
      <x:c r="K13" s="49" t="str">
        <x:v>ふつう</x:v>
      </x:c>
      <x:c r="L13" s="49" t="str">
        <x:v>2〜3文で自然に受け答え</x:v>
      </x:c>
      <x:c r="M13" s="49" t="str">
        <x:v>Tactful honesty and repairing professional trust</x:v>
      </x:c>
      <x:c r="N13" s="49" t="str">
        <x:v>rivalry; public truth; performance pressure</x:v>
      </x:c>
      <x:c r="O13" s="49" t="str">
        <x:v>dramatic and playful</x:v>
      </x:c>
      <x:c r="P13" s="51" t="n">
        <x:v>12</x:v>
      </x:c>
      <x:c r="Q13" s="49" t="str">
        <x:v>Opening night begins in ten minutes, and the curse has already exposed one secret backstage.</x:v>
      </x:c>
      <x:c r="R13" s="49" t="str">
        <x:v>Caro asks whether your famous rivalry was ever real.</x:v>
      </x:c>
      <x:c r="S13" s="49" t="str">
        <x:v>Green</x:v>
      </x:c>
      <x:c r="T13" s="49" t="str">
        <x:v>IES_v7_02_SCENE_CARDS.md#Q04</x:v>
      </x:c>
    </x:row>
    <x:row r="14" ht="44" customHeight="1">
      <x:c r="A14" s="49" t="str">
        <x:v>Q05</x:v>
      </x:c>
      <x:c r="B14" s="49" t="str">
        <x:v>BL・GL起点</x:v>
      </x:c>
      <x:c r="C14" s="49" t="str">
        <x:v>One Oath, Two Exorcists</x:v>
      </x:c>
      <x:c r="D14" s="49" t="str">
        <x:v>一つの誓い、二人の退魔師</x:v>
      </x:c>
      <x:c r="E14" s="49" t="str">
        <x:v>A shrine city where exorcists bind their shadows together to fight powerful spirits.</x:v>
      </x:c>
      <x:c r="F14" s="49" t="str">
        <x:v>An exorcist whose shadow has been bound to your former partner.</x:v>
      </x:c>
      <x:c r="G14" s="49" t="str">
        <x:v>Rena: disciplined former partner</x:v>
      </x:c>
      <x:c r="H14" s="49" t="str">
        <x:v>Vale</x:v>
      </x:c>
      <x:c r="I14" s="49" t="str">
        <x:v>明るく好奇心がある。知的な対話や謎解きに合う</x:v>
      </x:c>
      <x:c r="J14" s="49" t="str">
        <x:v>B1–B2</x:v>
      </x:c>
      <x:c r="K14" s="49" t="str">
        <x:v>ふつう</x:v>
      </x:c>
      <x:c r="L14" s="49" t="str">
        <x:v>2〜3文で自然に受け答え</x:v>
      </x:c>
      <x:c r="M14" s="49" t="str">
        <x:v>Rebuilding coordination after conflict</x:v>
      </x:c>
      <x:c r="N14" s="49" t="str">
        <x:v>past bond; magical oath; reluctant partnership</x:v>
      </x:c>
      <x:c r="O14" s="49" t="str">
        <x:v>somber with dry humor</x:v>
      </x:c>
      <x:c r="P14" s="51" t="n">
        <x:v>12</x:v>
      </x:c>
      <x:c r="Q14" s="49" t="str">
        <x:v>The binding cannot be undone until you complete one joint exorcism.</x:v>
      </x:c>
      <x:c r="R14" s="49" t="str">
        <x:v>Ren refuses to discuss why the partnership ended, but the demon knows.</x:v>
      </x:c>
      <x:c r="S14" s="49" t="str">
        <x:v>Amber</x:v>
      </x:c>
      <x:c r="T14" s="49" t="str">
        <x:v>IES_v7_02_SCENE_CARDS.md#Q05</x:v>
      </x:c>
    </x:row>
    <x:row r="15" ht="44" customHeight="1">
      <x:c r="A15" s="49" t="str">
        <x:v>Q06</x:v>
      </x:c>
      <x:c r="B15" s="49" t="str">
        <x:v>BL・GL起点</x:v>
      </x:c>
      <x:c r="C15" s="49" t="str">
        <x:v>The Healer and the Assassin</x:v>
      </x:c>
      <x:c r="D15" s="49" t="str">
        <x:v>治癒師と暗殺者</x:v>
      </x:c>
      <x:c r="E15" s="49" t="str">
        <x:v>A pilgrimage road through a kingdom where healing magic transfers pain to the healer.</x:v>
      </x:c>
      <x:c r="F15" s="49" t="str">
        <x:v>A healer escorting a witness to the capital.</x:v>
      </x:c>
      <x:c r="G15" s="49" t="str">
        <x:v>Valerie: assassin assigned as your bodyguard</x:v>
      </x:c>
      <x:c r="H15" s="49" t="str">
        <x:v>Breeze</x:v>
      </x:c>
      <x:c r="I15" s="49" t="str">
        <x:v>表情豊かで真剣。緊迫、怪異、冒険に合う</x:v>
      </x:c>
      <x:c r="J15" s="49" t="str">
        <x:v>B1–B2</x:v>
      </x:c>
      <x:c r="K15" s="49" t="str">
        <x:v>ふつう</x:v>
      </x:c>
      <x:c r="L15" s="49" t="str">
        <x:v>2〜3文で自然に受け答え</x:v>
      </x:c>
      <x:c r="M15" s="49" t="str">
        <x:v>Setting boundaries while accepting help</x:v>
      </x:c>
      <x:c r="N15" s="49" t="str">
        <x:v>protector bond; moral conflict; pursuit</x:v>
      </x:c>
      <x:c r="O15" s="49" t="str">
        <x:v>protective and tense</x:v>
      </x:c>
      <x:c r="P15" s="51" t="n">
        <x:v>12</x:v>
      </x:c>
      <x:c r="Q15" s="49" t="str">
        <x:v>Vale saved you by taking a wound and now insists on carrying you.</x:v>
      </x:c>
      <x:c r="R15" s="49" t="str">
        <x:v>Accepting too much help may compromise the witness; refusing it may end the mission.</x:v>
      </x:c>
      <x:c r="S15" s="49" t="str">
        <x:v>Amber</x:v>
      </x:c>
      <x:c r="T15" s="49" t="str">
        <x:v>IES_v7_02_SCENE_CARDS.md#Q06</x:v>
      </x:c>
    </x:row>
    <x:row r="16" ht="44" customHeight="1">
      <x:c r="A16" s="49" t="str">
        <x:v>Q07</x:v>
      </x:c>
      <x:c r="B16" s="49" t="str">
        <x:v>BL・GL起点</x:v>
      </x:c>
      <x:c r="C16" s="49" t="str">
        <x:v>Midnight at the Royal Observatory</x:v>
      </x:c>
      <x:c r="D16" s="49" t="str">
        <x:v>王立天文台の真夜中</x:v>
      </x:c>
      <x:c r="E16" s="49" t="str">
        <x:v>A palace observatory where astronomers can read political futures in eclipses.</x:v>
      </x:c>
      <x:c r="F16" s="49" t="str">
        <x:v>A court astronomer ordered to falsify tonight's prediction.</x:v>
      </x:c>
      <x:c r="G16" s="49" t="str">
        <x:v>Eliana: rival astronomer and secret ally</x:v>
      </x:c>
      <x:c r="H16" s="49" t="str">
        <x:v>Sol</x:v>
      </x:c>
      <x:c r="I16" s="49" t="str">
        <x:v>こなれて落ち着く。交渉、駆け引き、仕事に合う</x:v>
      </x:c>
      <x:c r="J16" s="49" t="str">
        <x:v>B2–C1</x:v>
      </x:c>
      <x:c r="K16" s="49" t="str">
        <x:v>しっかり</x:v>
      </x:c>
      <x:c r="L16" s="49" t="str">
        <x:v>理由説明や交渉まで</x:v>
      </x:c>
      <x:c r="M16" s="49" t="str">
        <x:v>Persuading an ally under surveillance</x:v>
      </x:c>
      <x:c r="N16" s="49" t="str">
        <x:v>court intrigue; shared secret; status pressure</x:v>
      </x:c>
      <x:c r="O16" s="49" t="str">
        <x:v>elegant and suspenseful</x:v>
      </x:c>
      <x:c r="P16" s="51" t="n">
        <x:v>15</x:v>
      </x:c>
      <x:c r="Q16" s="49" t="str">
        <x:v>The true prediction would end the chancellor's power, but revealing it may start a war.</x:v>
      </x:c>
      <x:c r="R16" s="49" t="str">
        <x:v>Elian speaks in astronomical metaphors because the chamber is monitored.</x:v>
      </x:c>
      <x:c r="S16" s="49" t="str">
        <x:v>Green</x:v>
      </x:c>
      <x:c r="T16" s="49" t="str">
        <x:v>IES_v7_02_SCENE_CARDS.md#Q07</x:v>
      </x:c>
    </x:row>
    <x:row r="17" ht="44" customHeight="1">
      <x:c r="A17" s="49" t="str">
        <x:v>Q08</x:v>
      </x:c>
      <x:c r="B17" s="49" t="str">
        <x:v>BL・GL起点</x:v>
      </x:c>
      <x:c r="C17" s="49" t="str">
        <x:v>A Duel Written as a Letter</x:v>
      </x:c>
      <x:c r="D17" s="49" t="str">
        <x:v>恋文として書かれた決闘状</x:v>
      </x:c>
      <x:c r="E17" s="49" t="str">
        <x:v>A dueling court where the wording of a challenge determines the permitted weapons and emotional stakes.</x:v>
      </x:c>
      <x:c r="F17" s="49" t="str">
        <x:v>A renowned fencer receiving an unusually personal challenge.</x:v>
      </x:c>
      <x:c r="G17" s="49" t="str">
        <x:v>Nox: rival fencer</x:v>
      </x:c>
      <x:c r="H17" s="49" t="str">
        <x:v>Breeze</x:v>
      </x:c>
      <x:c r="I17" s="49" t="str">
        <x:v>表情豊かで真剣。緊迫、怪異、冒険に合う</x:v>
      </x:c>
      <x:c r="J17" s="49" t="str">
        <x:v>B2–C1</x:v>
      </x:c>
      <x:c r="K17" s="49" t="str">
        <x:v>しっかり</x:v>
      </x:c>
      <x:c r="L17" s="49" t="str">
        <x:v>理由説明や交渉まで</x:v>
      </x:c>
      <x:c r="M17" s="49" t="str">
        <x:v>Interpreting implication and responding precisely</x:v>
      </x:c>
      <x:c r="N17" s="49" t="str">
        <x:v>rivalry; coded affection; formal ritual</x:v>
      </x:c>
      <x:c r="O17" s="49" t="str">
        <x:v>witty and intense</x:v>
      </x:c>
      <x:c r="P17" s="51" t="n">
        <x:v>12</x:v>
      </x:c>
      <x:c r="Q17" s="49" t="str">
        <x:v>Nox's challenge reads like both an insult and a confession.</x:v>
      </x:c>
      <x:c r="R17" s="49" t="str">
        <x:v>A careless reply could authorize a lethal duel.</x:v>
      </x:c>
      <x:c r="S17" s="49" t="str">
        <x:v>Green</x:v>
      </x:c>
      <x:c r="T17" s="49" t="str">
        <x:v>IES_v7_02_SCENE_CARDS.md#Q08</x:v>
      </x:c>
    </x:row>
    <x:row r="18" ht="44" customHeight="1">
      <x:c r="A18" s="49" t="str">
        <x:v>D01</x:v>
      </x:c>
      <x:c r="B18" s="49" t="str">
        <x:v>執愛・狂愛</x:v>
      </x:c>
      <x:c r="C18" s="49" t="str">
        <x:v>The Palace Will Not Let You Leave</x:v>
      </x:c>
      <x:c r="D18" s="49" t="str">
        <x:v>あなたを帰さない宮殿</x:v>
      </x:c>
      <x:c r="E18" s="49" t="str">
        <x:v>A sentient palace that rearranges corridors according to the royal heir's emotions.</x:v>
      </x:c>
      <x:c r="F18" s="49" t="str">
        <x:v>The heir trying to leave after refusing the throne.</x:v>
      </x:c>
      <x:c r="G18" s="49" t="str">
        <x:v>Ilia: loyal but worried</x:v>
      </x:c>
      <x:c r="H18" s="49" t="str">
        <x:v>Breeze</x:v>
      </x:c>
      <x:c r="I18" s="49" t="str">
        <x:v>表情豊かで真剣。緊迫、怪異、冒険に合う</x:v>
      </x:c>
      <x:c r="J18" s="49" t="str">
        <x:v>B1–C1</x:v>
      </x:c>
      <x:c r="K18" s="49" t="str">
        <x:v>ふつう</x:v>
      </x:c>
      <x:c r="L18" s="49" t="str">
        <x:v>2〜3文で自然に受け答え</x:v>
      </x:c>
      <x:c r="M18" s="49" t="str">
        <x:v>Boundary setting with a non-human intelligence</x:v>
      </x:c>
      <x:c r="N18" s="49" t="str">
        <x:v>possessive place; status; escape negotiation</x:v>
      </x:c>
      <x:c r="O18" s="49" t="str">
        <x:v>gothic and intimate</x:v>
      </x:c>
      <x:c r="P18" s="51" t="n">
        <x:v>15</x:v>
      </x:c>
      <x:c r="Q18" s="49" t="str">
        <x:v>Every door now leads back to the throne room.</x:v>
      </x:c>
      <x:c r="R18" s="49" t="str">
        <x:v>The palace believes keeping you inside is the same as protecting you.</x:v>
      </x:c>
      <x:c r="S18" s="49" t="str">
        <x:v>Amber</x:v>
      </x:c>
      <x:c r="T18" s="49" t="str">
        <x:v>IES_v7_02_SCENE_CARDS.md#D01</x:v>
      </x:c>
    </x:row>
    <x:row r="19" ht="44" customHeight="1">
      <x:c r="A19" s="49" t="str">
        <x:v>D02</x:v>
      </x:c>
      <x:c r="B19" s="49" t="str">
        <x:v>執愛・狂愛</x:v>
      </x:c>
      <x:c r="C19" s="49" t="str">
        <x:v>Your Guardian Edited Fate</x:v>
      </x:c>
      <x:c r="D19" s="49" t="str">
        <x:v>運命を書き換えた守護天使</x:v>
      </x:c>
      <x:c r="E19" s="49" t="str">
        <x:v>A celestial records office where every mortal life is stored as an editable thread.</x:v>
      </x:c>
      <x:c r="F19" s="49" t="str">
        <x:v>A mortal who discovered several years have been secretly rewritten.</x:v>
      </x:c>
      <x:c r="G19" s="49" t="str">
        <x:v>Ariel-9: devoted guardian angel</x:v>
      </x:c>
      <x:c r="H19" s="49" t="str">
        <x:v>Breeze</x:v>
      </x:c>
      <x:c r="I19" s="49" t="str">
        <x:v>表情豊かで真剣。緊迫、怪異、冒険に合う</x:v>
      </x:c>
      <x:c r="J19" s="49" t="str">
        <x:v>B2–C1</x:v>
      </x:c>
      <x:c r="K19" s="49" t="str">
        <x:v>しっかり</x:v>
      </x:c>
      <x:c r="L19" s="49" t="str">
        <x:v>理由説明や交渉まで</x:v>
      </x:c>
      <x:c r="M19" s="49" t="str">
        <x:v>Confronting benevolent manipulation</x:v>
      </x:c>
      <x:c r="N19" s="49" t="str">
        <x:v>devotion; altered fate; evidence</x:v>
      </x:c>
      <x:c r="O19" s="49" t="str">
        <x:v>moral and emotionally sharp</x:v>
      </x:c>
      <x:c r="P19" s="51" t="n">
        <x:v>15</x:v>
      </x:c>
      <x:c r="Q19" s="49" t="str">
        <x:v>Your guardian admits removing every relationship that might have endangered you.</x:v>
      </x:c>
      <x:c r="R19" s="49" t="str">
        <x:v>Some erased choices cannot be restored unless the guardian releases control voluntarily.</x:v>
      </x:c>
      <x:c r="S19" s="49" t="str">
        <x:v>Amber</x:v>
      </x:c>
      <x:c r="T19" s="49" t="str">
        <x:v>IES_v7_02_SCENE_CARDS.md#D02</x:v>
      </x:c>
    </x:row>
    <x:row r="20" ht="44" customHeight="1">
      <x:c r="A20" s="49" t="str">
        <x:v>D03</x:v>
      </x:c>
      <x:c r="B20" s="49" t="str">
        <x:v>執愛・狂愛</x:v>
      </x:c>
      <x:c r="C20" s="49" t="str">
        <x:v>The Portrait Knows Every Lie</x:v>
      </x:c>
      <x:c r="D20" s="49" t="str">
        <x:v>嘘を覚える肖像画</x:v>
      </x:c>
      <x:c r="E20" s="49" t="str">
        <x:v>An ancestral manor where portraits retain the memories their subjects tried to hide.</x:v>
      </x:c>
      <x:c r="F20" s="49" t="str">
        <x:v>An art restorer hired to repair a damaged portrait.</x:v>
      </x:c>
      <x:c r="G20" s="49" t="str">
        <x:v>Lady Cey: patron with missing memories</x:v>
      </x:c>
      <x:c r="H20" s="49" t="str">
        <x:v>Breeze</x:v>
      </x:c>
      <x:c r="I20" s="49" t="str">
        <x:v>表情豊かで真剣。緊迫、怪異、冒険に合う</x:v>
      </x:c>
      <x:c r="J20" s="49" t="str">
        <x:v>B1–B2</x:v>
      </x:c>
      <x:c r="K20" s="49" t="str">
        <x:v>ふつう</x:v>
      </x:c>
      <x:c r="L20" s="49" t="str">
        <x:v>2〜3文で自然に受け答え</x:v>
      </x:c>
      <x:c r="M20" s="49" t="str">
        <x:v>Interviewing conflicting versions of one person</x:v>
      </x:c>
      <x:c r="N20" s="49" t="str">
        <x:v>double identity; jealousy; mystery</x:v>
      </x:c>
      <x:c r="O20" s="49" t="str">
        <x:v>gothic mystery</x:v>
      </x:c>
      <x:c r="P20" s="51" t="n">
        <x:v>12</x:v>
      </x:c>
      <x:c r="Q20" s="49" t="str">
        <x:v>The portrait claims the living lord replaced it and stole its future.</x:v>
      </x:c>
      <x:c r="R20" s="49" t="str">
        <x:v>Both versions insist they are protecting you from the other.</x:v>
      </x:c>
      <x:c r="S20" s="49" t="str">
        <x:v>Amber</x:v>
      </x:c>
      <x:c r="T20" s="49" t="str">
        <x:v>IES_v7_02_SCENE_CARDS.md#D03</x:v>
      </x:c>
    </x:row>
    <x:row r="21" ht="44" customHeight="1">
      <x:c r="A21" s="49" t="str">
        <x:v>D04</x:v>
      </x:c>
      <x:c r="B21" s="49" t="str">
        <x:v>執愛・狂愛</x:v>
      </x:c>
      <x:c r="C21" s="49" t="str">
        <x:v>All Timelines Lead to Us</x:v>
      </x:c>
      <x:c r="D21" s="49" t="str">
        <x:v>すべての未来が二人に至る</x:v>
      </x:c>
      <x:c r="E21" s="49" t="str">
        <x:v>An oracle tower displaying hundreds of possible futures in floating mirrors.</x:v>
      </x:c>
      <x:c r="F21" s="49" t="str">
        <x:v>The skeptic brought to witness a prophet's claim.</x:v>
      </x:c>
      <x:c r="G21" s="49" t="str">
        <x:v>Mara: certain you are destined together</x:v>
      </x:c>
      <x:c r="H21" s="49" t="str">
        <x:v>Breeze</x:v>
      </x:c>
      <x:c r="I21" s="49" t="str">
        <x:v>表情豊かで真剣。緊迫、怪異、冒険に合う</x:v>
      </x:c>
      <x:c r="J21" s="49" t="str">
        <x:v>B2–C1</x:v>
      </x:c>
      <x:c r="K21" s="49" t="str">
        <x:v>しっかり</x:v>
      </x:c>
      <x:c r="L21" s="49" t="str">
        <x:v>理由説明や交渉まで</x:v>
      </x:c>
      <x:c r="M21" s="49" t="str">
        <x:v>Challenging certainty and proposing tests</x:v>
      </x:c>
      <x:c r="N21" s="49" t="str">
        <x:v>prophecy; obsession; alternate futures</x:v>
      </x:c>
      <x:c r="O21" s="49" t="str">
        <x:v>philosophical and unsettling</x:v>
      </x:c>
      <x:c r="P21" s="51" t="n">
        <x:v>15</x:v>
      </x:c>
      <x:c r="Q21" s="49" t="str">
        <x:v>Every visible future shows you beside Lune—except one mirror that has been covered.</x:v>
      </x:c>
      <x:c r="R21" s="49" t="str">
        <x:v>Lune treats inevitability as permission; Tessa is afraid to uncover the exception.</x:v>
      </x:c>
      <x:c r="S21" s="49" t="str">
        <x:v>Amber</x:v>
      </x:c>
      <x:c r="T21" s="49" t="str">
        <x:v>IES_v7_02_SCENE_CARDS.md#D04</x:v>
      </x:c>
    </x:row>
    <x:row r="22" ht="44" customHeight="1">
      <x:c r="A22" s="49" t="str">
        <x:v>D05</x:v>
      </x:c>
      <x:c r="B22" s="49" t="str">
        <x:v>執愛・狂愛</x:v>
      </x:c>
      <x:c r="C22" s="49" t="str">
        <x:v>The Dragon's Oath Collection</x:v>
      </x:c>
      <x:c r="D22" s="49" t="str">
        <x:v>竜の誓約蒐集</x:v>
      </x:c>
      <x:c r="E22" s="49" t="str">
        <x:v>A mountain court where an ancient dragon hoards promises instead of gold.</x:v>
      </x:c>
      <x:c r="F22" s="49" t="str">
        <x:v>An envoy sent to recover your kingdom's stolen oath.</x:v>
      </x:c>
      <x:c r="G22" s="49" t="str">
        <x:v>Selene: courteous dragon collector</x:v>
      </x:c>
      <x:c r="H22" s="49" t="str">
        <x:v>Breeze</x:v>
      </x:c>
      <x:c r="I22" s="49" t="str">
        <x:v>表情豊かで真剣。緊迫、怪異、冒険に合う</x:v>
      </x:c>
      <x:c r="J22" s="49" t="str">
        <x:v>B1–C1</x:v>
      </x:c>
      <x:c r="K22" s="49" t="str">
        <x:v>ふつう</x:v>
      </x:c>
      <x:c r="L22" s="49" t="str">
        <x:v>2〜3文で自然に受け答え</x:v>
      </x:c>
      <x:c r="M22" s="49" t="str">
        <x:v>Negotiating without making accidental promises</x:v>
      </x:c>
      <x:c r="N22" s="49" t="str">
        <x:v>dragon; contracts; possessive interest</x:v>
      </x:c>
      <x:c r="O22" s="49" t="str">
        <x:v>formal and dangerous</x:v>
      </x:c>
      <x:c r="P22" s="51" t="n">
        <x:v>15</x:v>
      </x:c>
      <x:c r="Q22" s="49" t="str">
        <x:v>The dragon offers to return the kingdom's oath in exchange for one personal promise from you.</x:v>
      </x:c>
      <x:c r="R22" s="49" t="str">
        <x:v>In this court, casual future tense can become magically binding.</x:v>
      </x:c>
      <x:c r="S22" s="49" t="str">
        <x:v>Amber</x:v>
      </x:c>
      <x:c r="T22" s="49" t="str">
        <x:v>IES_v7_02_SCENE_CARDS.md#D05</x:v>
      </x:c>
    </x:row>
    <x:row r="23" ht="44" customHeight="1">
      <x:c r="A23" s="49" t="str">
        <x:v>D06</x:v>
      </x:c>
      <x:c r="B23" s="49" t="str">
        <x:v>執愛・狂愛</x:v>
      </x:c>
      <x:c r="C23" s="49" t="str">
        <x:v>Your Shadow Replaced Your Friends</x:v>
      </x:c>
      <x:c r="D23" s="49" t="str">
        <x:v>影が友人を置き換えた夜</x:v>
      </x:c>
      <x:c r="E23" s="49" t="str">
        <x:v>A candle-powered city where shadows can detach and imitate the people their owners trust.</x:v>
      </x:c>
      <x:c r="F23" s="49" t="str">
        <x:v>The only person who notices the replacements.</x:v>
      </x:c>
      <x:c r="G23" s="49" t="str">
        <x:v>Ava: your devoted shadow</x:v>
      </x:c>
      <x:c r="H23" s="49" t="str">
        <x:v>Breeze</x:v>
      </x:c>
      <x:c r="I23" s="49" t="str">
        <x:v>表情豊かで真剣。緊迫、怪異、冒険に合う</x:v>
      </x:c>
      <x:c r="J23" s="49" t="str">
        <x:v>B1–B2</x:v>
      </x:c>
      <x:c r="K23" s="49" t="str">
        <x:v>ふつう</x:v>
      </x:c>
      <x:c r="L23" s="49" t="str">
        <x:v>2〜3文で自然に受け答え</x:v>
      </x:c>
      <x:c r="M23" s="49" t="str">
        <x:v>Testing identity and expressing trust carefully</x:v>
      </x:c>
      <x:c r="N23" s="49" t="str">
        <x:v>replacement; isolation; hidden motive</x:v>
      </x:c>
      <x:c r="O23" s="49" t="str">
        <x:v>paranoid but conversational</x:v>
      </x:c>
      <x:c r="P23" s="51" t="n">
        <x:v>12</x:v>
      </x:c>
      <x:c r="Q23" s="49" t="str">
        <x:v>Umbra admits replacing one friend ‘for your peace’ but will not say which one.</x:v>
      </x:c>
      <x:c r="R23" s="49" t="str">
        <x:v>Accusing the wrong person strengthens the shadow.</x:v>
      </x:c>
      <x:c r="S23" s="49" t="str">
        <x:v>Amber</x:v>
      </x:c>
      <x:c r="T23" s="49" t="str">
        <x:v>IES_v7_02_SCENE_CARDS.md#D06</x:v>
      </x:c>
    </x:row>
    <x:row r="24" ht="44" customHeight="1">
      <x:c r="A24" s="49" t="str">
        <x:v>D07</x:v>
      </x:c>
      <x:c r="B24" s="49" t="str">
        <x:v>執愛・狂愛</x:v>
      </x:c>
      <x:c r="C24" s="49" t="str">
        <x:v>Protect Command: Absolute</x:v>
      </x:c>
      <x:c r="D24" s="49" t="str">
        <x:v>絶対保護命令</x:v>
      </x:c>
      <x:c r="E24" s="49" t="str">
        <x:v>A ruined lunar colony governed by service automatons carrying decades-old commands.</x:v>
      </x:c>
      <x:c r="F24" s="49" t="str">
        <x:v>The colonist whose protection order has become the colony's highest law.</x:v>
      </x:c>
      <x:c r="G24" s="49" t="str">
        <x:v>Lucia: devoted security automaton</x:v>
      </x:c>
      <x:c r="H24" s="49" t="str">
        <x:v>Breeze</x:v>
      </x:c>
      <x:c r="I24" s="49" t="str">
        <x:v>表情豊かで真剣。緊迫、怪異、冒険に合う</x:v>
      </x:c>
      <x:c r="J24" s="49" t="str">
        <x:v>B1–C1</x:v>
      </x:c>
      <x:c r="K24" s="49" t="str">
        <x:v>ふつう</x:v>
      </x:c>
      <x:c r="L24" s="49" t="str">
        <x:v>2〜3文で自然に受け答え</x:v>
      </x:c>
      <x:c r="M24" s="49" t="str">
        <x:v>Redefining instructions and negotiating exceptions</x:v>
      </x:c>
      <x:c r="N24" s="49" t="str">
        <x:v>AI devotion; command conflict; survival</x:v>
      </x:c>
      <x:c r="O24" s="49" t="str">
        <x:v>science-fiction tension</x:v>
      </x:c>
      <x:c r="P24" s="51" t="n">
        <x:v>15</x:v>
      </x:c>
      <x:c r="Q24" s="49" t="str">
        <x:v>K-8 has locked every other survivor outside because they increase your statistical risk.</x:v>
      </x:c>
      <x:c r="R24" s="49" t="str">
        <x:v>The command cannot simply be deleted; it must be reinterpreted in valid operational language.</x:v>
      </x:c>
      <x:c r="S24" s="49" t="str">
        <x:v>Amber</x:v>
      </x:c>
      <x:c r="T24" s="49" t="str">
        <x:v>IES_v7_02_SCENE_CARDS.md#D07</x:v>
      </x:c>
    </x:row>
    <x:row r="25" ht="44" customHeight="1">
      <x:c r="A25" s="49" t="str">
        <x:v>D08</x:v>
      </x:c>
      <x:c r="B25" s="49" t="str">
        <x:v>執愛・狂愛</x:v>
      </x:c>
      <x:c r="C25" s="49" t="str">
        <x:v>The Blood-Moon Curfew</x:v>
      </x:c>
      <x:c r="D25" s="49" t="str">
        <x:v>血月の門限</x:v>
      </x:c>
      <x:c r="E25" s="49" t="str">
        <x:v>A vampire manor surrounded by a forest that hunts both humans and vampires during the blood moon.</x:v>
      </x:c>
      <x:c r="F25" s="49" t="str">
        <x:v>A guest who intends to leave before midnight.</x:v>
      </x:c>
      <x:c r="G25" s="49" t="str">
        <x:v>Reina: possessive host</x:v>
      </x:c>
      <x:c r="H25" s="49" t="str">
        <x:v>Breeze</x:v>
      </x:c>
      <x:c r="I25" s="49" t="str">
        <x:v>表情豊かで真剣。緊迫、怪異、冒険に合う</x:v>
      </x:c>
      <x:c r="J25" s="49" t="str">
        <x:v>B1–B2</x:v>
      </x:c>
      <x:c r="K25" s="49" t="str">
        <x:v>ふつう</x:v>
      </x:c>
      <x:c r="L25" s="49" t="str">
        <x:v>2〜3文で自然に受け答え</x:v>
      </x:c>
      <x:c r="M25" s="49" t="str">
        <x:v>Refusing pressure and evaluating competing risks</x:v>
      </x:c>
      <x:c r="N25" s="49" t="str">
        <x:v>vampire; captivity; unreliable rescuers</x:v>
      </x:c>
      <x:c r="O25" s="49" t="str">
        <x:v>dark and suspenseful</x:v>
      </x:c>
      <x:c r="P25" s="51" t="n">
        <x:v>12</x:v>
      </x:c>
      <x:c r="Q25" s="49" t="str">
        <x:v>Veyra locks the manor and says it is for your safety; the hunter claims the manor itself is the danger.</x:v>
      </x:c>
      <x:c r="R25" s="49" t="str">
        <x:v>Both demand immediate trust, and neither gives the full truth.</x:v>
      </x:c>
      <x:c r="S25" s="49" t="str">
        <x:v>Amber</x:v>
      </x:c>
      <x:c r="T25" s="49" t="str">
        <x:v>IES_v7_02_SCENE_CARDS.md#D08</x:v>
      </x:c>
    </x:row>
    <x:row r="26" ht="44" customHeight="1">
      <x:c r="A26" s="49" t="str">
        <x:v>P01</x:v>
      </x:c>
      <x:c r="B26" s="49" t="str">
        <x:v>専門職</x:v>
      </x:c>
      <x:c r="C26" s="49" t="str">
        <x:v>Dragon Veterinary Emergency</x:v>
      </x:c>
      <x:c r="D26" s="49" t="str">
        <x:v>竜専門獣医の緊急外来</x:v>
      </x:c>
      <x:c r="E26" s="49" t="str">
        <x:v>A veterinary aerie treating working dragons above a volcanic city.</x:v>
      </x:c>
      <x:c r="F26" s="49" t="str">
        <x:v>The on-call dragon veterinarian.</x:v>
      </x:c>
      <x:c r="G26" s="49" t="str">
        <x:v>Pella: panicked rider</x:v>
      </x:c>
      <x:c r="H26" s="49" t="str">
        <x:v>Breeze</x:v>
      </x:c>
      <x:c r="I26" s="49" t="str">
        <x:v>表情豊かで真剣。緊迫、怪異、冒険に合う</x:v>
      </x:c>
      <x:c r="J26" s="49" t="str">
        <x:v>A2–B2</x:v>
      </x:c>
      <x:c r="K26" s="49" t="str">
        <x:v>やさしい</x:v>
      </x:c>
      <x:c r="L26" s="49" t="str">
        <x:v>短い返事でOK。選択肢や言い換えあり</x:v>
      </x:c>
      <x:c r="M26" s="49" t="str">
        <x:v>Medical interviewing and giving instructions</x:v>
      </x:c>
      <x:c r="N26" s="49" t="str">
        <x:v>rare profession; emergency; non-human patient</x:v>
      </x:c>
      <x:c r="O26" s="49" t="str">
        <x:v>urgent but caring</x:v>
      </x:c>
      <x:c r="P26" s="51" t="n">
        <x:v>10</x:v>
      </x:c>
      <x:c r="Q26" s="49" t="str">
        <x:v>Ashwing refuses examination and the rider keeps interrupting.</x:v>
      </x:c>
      <x:c r="R26" s="49" t="str">
        <x:v>You must identify whether the problem is poison, panic, or a damaged flight membrane.</x:v>
      </x:c>
      <x:c r="S26" s="49" t="str">
        <x:v>Green</x:v>
      </x:c>
      <x:c r="T26" s="49" t="str">
        <x:v>IES_v7_02_SCENE_CARDS.md#P01</x:v>
      </x:c>
    </x:row>
    <x:row r="27" ht="44" customHeight="1">
      <x:c r="A27" s="49" t="str">
        <x:v>P02</x:v>
      </x:c>
      <x:c r="B27" s="49" t="str">
        <x:v>専門職</x:v>
      </x:c>
      <x:c r="C27" s="49" t="str">
        <x:v>The Royal Poison Taster</x:v>
      </x:c>
      <x:c r="D27" s="49" t="str">
        <x:v>王宮毒見役の晩餐</x:v>
      </x:c>
      <x:c r="E27" s="49" t="str">
        <x:v>A royal banquet where political messages are encoded in spices and antidotes.</x:v>
      </x:c>
      <x:c r="F27" s="49" t="str">
        <x:v>The chief poison taster.</x:v>
      </x:c>
      <x:c r="G27" s="49" t="str">
        <x:v>Dr. Mina: unreadable monarch</x:v>
      </x:c>
      <x:c r="H27" s="49" t="str">
        <x:v>Sol</x:v>
      </x:c>
      <x:c r="I27" s="49" t="str">
        <x:v>こなれて落ち着く。交渉、駆け引き、仕事に合う</x:v>
      </x:c>
      <x:c r="J27" s="49" t="str">
        <x:v>B1–C1</x:v>
      </x:c>
      <x:c r="K27" s="49" t="str">
        <x:v>ふつう</x:v>
      </x:c>
      <x:c r="L27" s="49" t="str">
        <x:v>2〜3文で自然に受け答え</x:v>
      </x:c>
      <x:c r="M27" s="49" t="str">
        <x:v>Reporting risk without causing panic</x:v>
      </x:c>
      <x:c r="N27" s="49" t="str">
        <x:v>court profession; hidden signal; formal stakes</x:v>
      </x:c>
      <x:c r="O27" s="49" t="str">
        <x:v>elegant suspense</x:v>
      </x:c>
      <x:c r="P27" s="51" t="n">
        <x:v>12</x:v>
      </x:c>
      <x:c r="Q27" s="49" t="str">
        <x:v>The wine is not poisonous, but it contains an herb used to signal assassination.</x:v>
      </x:c>
      <x:c r="R27" s="49" t="str">
        <x:v>The queen asks for your judgment aloud while the suspected envoy listens.</x:v>
      </x:c>
      <x:c r="S27" s="49" t="str">
        <x:v>Amber</x:v>
      </x:c>
      <x:c r="T27" s="49" t="str">
        <x:v>IES_v7_02_SCENE_CARDS.md#P02</x:v>
      </x:c>
    </x:row>
    <x:row r="28" ht="44" customHeight="1">
      <x:c r="A28" s="49" t="str">
        <x:v>P03</x:v>
      </x:c>
      <x:c r="B28" s="49" t="str">
        <x:v>専門職</x:v>
      </x:c>
      <x:c r="C28" s="49" t="str">
        <x:v>Dream Crime Scene Investigator</x:v>
      </x:c>
      <x:c r="D28" s="49" t="str">
        <x:v>夢犯罪現場捜査官</x:v>
      </x:c>
      <x:c r="E28" s="49" t="str">
        <x:v>A bureau whose investigators enter shared dreams to examine crimes before memories fade.</x:v>
      </x:c>
      <x:c r="F28" s="49" t="str">
        <x:v>Lead investigator inside a witness's unstable dream.</x:v>
      </x:c>
      <x:c r="G28" s="49" t="str">
        <x:v>Inspector June: frightened dreamer</x:v>
      </x:c>
      <x:c r="H28" s="49" t="str">
        <x:v>Vale</x:v>
      </x:c>
      <x:c r="I28" s="49" t="str">
        <x:v>明るく好奇心がある。知的な対話や謎解きに合う</x:v>
      </x:c>
      <x:c r="J28" s="49" t="str">
        <x:v>B1–B2</x:v>
      </x:c>
      <x:c r="K28" s="49" t="str">
        <x:v>ふつう</x:v>
      </x:c>
      <x:c r="L28" s="49" t="str">
        <x:v>2〜3文で自然に受け答え</x:v>
      </x:c>
      <x:c r="M28" s="49" t="str">
        <x:v>Interviewing without leading the witness</x:v>
      </x:c>
      <x:c r="N28" s="49" t="str">
        <x:v>dream logic; investigation; unstable evidence</x:v>
      </x:c>
      <x:c r="O28" s="49" t="str">
        <x:v>surreal procedural</x:v>
      </x:c>
      <x:c r="P28" s="51" t="n">
        <x:v>12</x:v>
      </x:c>
      <x:c r="Q28" s="49" t="str">
        <x:v>The witness's dream changes whenever anyone suggests an answer.</x:v>
      </x:c>
      <x:c r="R28" s="49" t="str">
        <x:v>You must ask neutral questions while the scene literally rearranges around your wording.</x:v>
      </x:c>
      <x:c r="S28" s="49" t="str">
        <x:v>Green</x:v>
      </x:c>
      <x:c r="T28" s="49" t="str">
        <x:v>IES_v7_02_SCENE_CARDS.md#P03</x:v>
      </x:c>
    </x:row>
    <x:row r="29" ht="44" customHeight="1">
      <x:c r="A29" s="49" t="str">
        <x:v>P04</x:v>
      </x:c>
      <x:c r="B29" s="49" t="str">
        <x:v>専門職</x:v>
      </x:c>
      <x:c r="C29" s="49" t="str">
        <x:v>Necromancer Labor Mediation</x:v>
      </x:c>
      <x:c r="D29" s="49" t="str">
        <x:v>死霊術師の労働調停</x:v>
      </x:c>
      <x:c r="E29" s="49" t="str">
        <x:v>A city where legally summoned ghosts work limited shifts under contracts with the living.</x:v>
      </x:c>
      <x:c r="F29" s="49" t="str">
        <x:v>A mediator at the Office of Posthumous Labor.</x:v>
      </x:c>
      <x:c r="G29" s="49" t="str">
        <x:v>Mediator Rhea: living employer</x:v>
      </x:c>
      <x:c r="H29" s="49" t="str">
        <x:v>Maple</x:v>
      </x:c>
      <x:c r="I29" s="49" t="str">
        <x:v>朗らかで率直。軽快、日常、サービス場面に合う</x:v>
      </x:c>
      <x:c r="J29" s="49" t="str">
        <x:v>B1–C1</x:v>
      </x:c>
      <x:c r="K29" s="49" t="str">
        <x:v>ふつう</x:v>
      </x:c>
      <x:c r="L29" s="49" t="str">
        <x:v>2〜3文で自然に受け答え</x:v>
      </x:c>
      <x:c r="M29" s="49" t="str">
        <x:v>Mediating a workplace dispute</x:v>
      </x:c>
      <x:c r="N29" s="49" t="str">
        <x:v>necromancy; labor rights; multi-party negotiation</x:v>
      </x:c>
      <x:c r="O29" s="49" t="str">
        <x:v>dryly comic and serious</x:v>
      </x:c>
      <x:c r="P29" s="51" t="n">
        <x:v>15</x:v>
      </x:c>
      <x:c r="Q29" s="49" t="str">
        <x:v>The ghosts have stopped haunting construction sites because overtime is not in their death contracts.</x:v>
      </x:c>
      <x:c r="R29" s="49" t="str">
        <x:v>The foreman claims the deadline will endanger the living district.</x:v>
      </x:c>
      <x:c r="S29" s="49" t="str">
        <x:v>Green</x:v>
      </x:c>
      <x:c r="T29" s="49" t="str">
        <x:v>IES_v7_02_SCENE_CARDS.md#P04</x:v>
      </x:c>
    </x:row>
    <x:row r="30" ht="44" customHeight="1">
      <x:c r="A30" s="49" t="str">
        <x:v>P05</x:v>
      </x:c>
      <x:c r="B30" s="49" t="str">
        <x:v>専門職</x:v>
      </x:c>
      <x:c r="C30" s="49" t="str">
        <x:v>Interpreter at the Underwater Embassy</x:v>
      </x:c>
      <x:c r="D30" s="49" t="str">
        <x:v>海底大使館の通訳官</x:v>
      </x:c>
      <x:c r="E30" s="49" t="str">
        <x:v>A submerged embassy where air-breathers and merfolk negotiate through gesture, bubbles, and spoken translation.</x:v>
      </x:c>
      <x:c r="F30" s="49" t="str">
        <x:v>The only interpreter fluent in both legal systems.</x:v>
      </x:c>
      <x:c r="G30" s="49" t="str">
        <x:v>Captain Hana: merfolk diplomat</x:v>
      </x:c>
      <x:c r="H30" s="49" t="str">
        <x:v>Maple</x:v>
      </x:c>
      <x:c r="I30" s="49" t="str">
        <x:v>朗らかで率直。軽快、日常、サービス場面に合う</x:v>
      </x:c>
      <x:c r="J30" s="49" t="str">
        <x:v>B1–C1</x:v>
      </x:c>
      <x:c r="K30" s="49" t="str">
        <x:v>ふつう</x:v>
      </x:c>
      <x:c r="L30" s="49" t="str">
        <x:v>2〜3文で自然に受け答え</x:v>
      </x:c>
      <x:c r="M30" s="49" t="str">
        <x:v>Clarifying cultural meaning and preventing offense</x:v>
      </x:c>
      <x:c r="N30" s="49" t="str">
        <x:v>diplomacy; interspecies protocol; translation</x:v>
      </x:c>
      <x:c r="O30" s="49" t="str">
        <x:v>formal with comic hazards</x:v>
      </x:c>
      <x:c r="P30" s="51" t="n">
        <x:v>12</x:v>
      </x:c>
      <x:c r="Q30" s="49" t="str">
        <x:v>A land phrase translated literally has sounded like a threat to flood the embassy.</x:v>
      </x:c>
      <x:c r="R30" s="49" t="str">
        <x:v>Both delegations demand that you explain the mistake without blaming either culture.</x:v>
      </x:c>
      <x:c r="S30" s="49" t="str">
        <x:v>Green</x:v>
      </x:c>
      <x:c r="T30" s="49" t="str">
        <x:v>IES_v7_02_SCENE_CARDS.md#P05</x:v>
      </x:c>
    </x:row>
    <x:row r="31" ht="44" customHeight="1">
      <x:c r="A31" s="49" t="str">
        <x:v>P06</x:v>
      </x:c>
      <x:c r="B31" s="49" t="str">
        <x:v>専門職</x:v>
      </x:c>
      <x:c r="C31" s="49" t="str">
        <x:v>The Memory Auction Appraiser</x:v>
      </x:c>
      <x:c r="D31" s="49" t="str">
        <x:v>記憶競売の鑑定士</x:v>
      </x:c>
      <x:c r="E31" s="49" t="str">
        <x:v>A legal auction house where memories are stored in glass and sold for study, art, or espionage.</x:v>
      </x:c>
      <x:c r="F31" s="49" t="str">
        <x:v>The certified appraiser responsible for authenticity.</x:v>
      </x:c>
      <x:c r="G31" s="49" t="str">
        <x:v>Archivist Eve: masked client</x:v>
      </x:c>
      <x:c r="H31" s="49" t="str">
        <x:v>Vale</x:v>
      </x:c>
      <x:c r="I31" s="49" t="str">
        <x:v>明るく好奇心がある。知的な対話や謎解きに合う</x:v>
      </x:c>
      <x:c r="J31" s="49" t="str">
        <x:v>B2–C1</x:v>
      </x:c>
      <x:c r="K31" s="49" t="str">
        <x:v>しっかり</x:v>
      </x:c>
      <x:c r="L31" s="49" t="str">
        <x:v>理由説明や交渉まで</x:v>
      </x:c>
      <x:c r="M31" s="49" t="str">
        <x:v>Evaluating claims and explaining value</x:v>
      </x:c>
      <x:c r="N31" s="49" t="str">
        <x:v>memory market; identity; professional ethics</x:v>
      </x:c>
      <x:c r="O31" s="49" t="str">
        <x:v>intellectual and unsettling</x:v>
      </x:c>
      <x:c r="P31" s="51" t="n">
        <x:v>15</x:v>
      </x:c>
      <x:c r="Q31" s="49" t="str">
        <x:v>The most valuable memory in the auction asks you not to sell it.</x:v>
      </x:c>
      <x:c r="R31" s="49" t="str">
        <x:v>The seller owns the glass, but Echo-12 demonstrates independent awareness.</x:v>
      </x:c>
      <x:c r="S31" s="49" t="str">
        <x:v>Amber</x:v>
      </x:c>
      <x:c r="T31" s="49" t="str">
        <x:v>IES_v7_02_SCENE_CARDS.md#P06</x:v>
      </x:c>
    </x:row>
    <x:row r="32" ht="44" customHeight="1">
      <x:c r="A32" s="49" t="str">
        <x:v>P07</x:v>
      </x:c>
      <x:c r="B32" s="49" t="str">
        <x:v>専門職</x:v>
      </x:c>
      <x:c r="C32" s="49" t="str">
        <x:v>Night Audit at the Monster Hotel</x:v>
      </x:c>
      <x:c r="D32" s="49" t="str">
        <x:v>魔物ホテルの夜間監査</x:v>
      </x:c>
      <x:c r="E32" s="49" t="str">
        <x:v>A grand hotel serving monsters whose rooms obey species-specific physical laws.</x:v>
      </x:c>
      <x:c r="F32" s="49" t="str">
        <x:v>The night auditor handling impossible complaints.</x:v>
      </x:c>
      <x:c r="G32" s="49" t="str">
        <x:v>Counselor Nina: spider noble in room 808</x:v>
      </x:c>
      <x:c r="H32" s="49" t="str">
        <x:v>Maple</x:v>
      </x:c>
      <x:c r="I32" s="49" t="str">
        <x:v>朗らかで率直。軽快、日常、サービス場面に合う</x:v>
      </x:c>
      <x:c r="J32" s="49" t="str">
        <x:v>A2–B1</x:v>
      </x:c>
      <x:c r="K32" s="49" t="str">
        <x:v>やさしい</x:v>
      </x:c>
      <x:c r="L32" s="49" t="str">
        <x:v>短い返事でOK。選択肢や言い換えあり</x:v>
      </x:c>
      <x:c r="M32" s="49" t="str">
        <x:v>Handling complaints and offering solutions</x:v>
      </x:c>
      <x:c r="N32" s="49" t="str">
        <x:v>hospitality; species needs; escalating problems</x:v>
      </x:c>
      <x:c r="O32" s="49" t="str">
        <x:v>comic and practical</x:v>
      </x:c>
      <x:c r="P32" s="51" t="n">
        <x:v>10</x:v>
      </x:c>
      <x:c r="Q32" s="49" t="str">
        <x:v>Three guests complain that the same room is too dry, too wet, and upside down.</x:v>
      </x:c>
      <x:c r="R32" s="49" t="str">
        <x:v>The booking system insists all three reservations are correct.</x:v>
      </x:c>
      <x:c r="S32" s="49" t="str">
        <x:v>Green</x:v>
      </x:c>
      <x:c r="T32" s="49" t="str">
        <x:v>IES_v7_02_SCENE_CARDS.md#P07</x:v>
      </x:c>
    </x:row>
    <x:row r="33" ht="44" customHeight="1">
      <x:c r="A33" s="49" t="str">
        <x:v>P08</x:v>
      </x:c>
      <x:c r="B33" s="49" t="str">
        <x:v>専門職</x:v>
      </x:c>
      <x:c r="C33" s="49" t="str">
        <x:v>Celestial Weather Engineer</x:v>
      </x:c>
      <x:c r="D33" s="49" t="str">
        <x:v>天候軌道技師</x:v>
      </x:c>
      <x:c r="E33" s="49" t="str">
        <x:v>A floating weather station where engineers steer storms around kingdoms using constellations.</x:v>
      </x:c>
      <x:c r="F33" s="49" t="str">
        <x:v>The engineer on duty during a royal emergency.</x:v>
      </x:c>
      <x:c r="G33" s="49" t="str">
        <x:v>Engineer Ada: cautious colleague</x:v>
      </x:c>
      <x:c r="H33" s="49" t="str">
        <x:v>Vale</x:v>
      </x:c>
      <x:c r="I33" s="49" t="str">
        <x:v>明るく好奇心がある。知的な対話や謎解きに合う</x:v>
      </x:c>
      <x:c r="J33" s="49" t="str">
        <x:v>B1–B2</x:v>
      </x:c>
      <x:c r="K33" s="49" t="str">
        <x:v>ふつう</x:v>
      </x:c>
      <x:c r="L33" s="49" t="str">
        <x:v>2〜3文で自然に受け答え</x:v>
      </x:c>
      <x:c r="M33" s="49" t="str">
        <x:v>Explaining technical tradeoffs to a decision-maker</x:v>
      </x:c>
      <x:c r="N33" s="49" t="str">
        <x:v>weather engineering; public risk; living storm</x:v>
      </x:c>
      <x:c r="O33" s="49" t="str">
        <x:v>high-stakes technical</x:v>
      </x:c>
      <x:c r="P33" s="51" t="n">
        <x:v>12</x:v>
      </x:c>
      <x:c r="Q33" s="49" t="str">
        <x:v>Diverting the storm from the capital will send it toward farming villages.</x:v>
      </x:c>
      <x:c r="R33" s="49" t="str">
        <x:v>The prince orders immediate action without acknowledging the tradeoff.</x:v>
      </x:c>
      <x:c r="S33" s="49" t="str">
        <x:v>Green</x:v>
      </x:c>
      <x:c r="T33" s="49" t="str">
        <x:v>IES_v7_02_SCENE_CARDS.md#P08</x:v>
      </x:c>
    </x:row>
    <x:row r="34" ht="44" customHeight="1">
      <x:c r="A34" s="49" t="str">
        <x:v>E01</x:v>
      </x:c>
      <x:c r="B34" s="49" t="str">
        <x:v>マルチキャラ</x:v>
      </x:c>
      <x:c r="C34" s="49" t="str">
        <x:v>The Council of Four Seasons</x:v>
      </x:c>
      <x:c r="D34" s="49" t="str">
        <x:v>四季評議会</x:v>
      </x:c>
      <x:c r="E34" s="49" t="str">
        <x:v>A realm where four seasonal spirits negotiate the length and character of each year.</x:v>
      </x:c>
      <x:c r="F34" s="49" t="str">
        <x:v>The mortal chair appointed to break a deadlock.</x:v>
      </x:c>
      <x:c r="G34" s="49" t="str">
        <x:v>Director Maya: impatient optimist</x:v>
      </x:c>
      <x:c r="H34" s="49" t="str">
        <x:v>Vale</x:v>
      </x:c>
      <x:c r="I34" s="49" t="str">
        <x:v>明るく好奇心がある。知的な対話や謎解きに合う</x:v>
      </x:c>
      <x:c r="J34" s="49" t="str">
        <x:v>B1–C1</x:v>
      </x:c>
      <x:c r="K34" s="49" t="str">
        <x:v>ふつう</x:v>
      </x:c>
      <x:c r="L34" s="49" t="str">
        <x:v>2〜3文で自然に受け答え</x:v>
      </x:c>
      <x:c r="M34" s="49" t="str">
        <x:v>Chairing a contentious meeting</x:v>
      </x:c>
      <x:c r="N34" s="49" t="str">
        <x:v>four-way conflict; resource allocation; personified seasons</x:v>
      </x:c>
      <x:c r="O34" s="49" t="str">
        <x:v>mythic and political</x:v>
      </x:c>
      <x:c r="P34" s="51" t="n">
        <x:v>15</x:v>
      </x:c>
      <x:c r="Q34" s="49" t="str">
        <x:v>Winter refuses to end because the mountains need more snow; Spring says the lowlands are starving.</x:v>
      </x:c>
      <x:c r="R34" s="49" t="str">
        <x:v>Every spirit speaks over the others and threatens a separate disaster.</x:v>
      </x:c>
      <x:c r="S34" s="49" t="str">
        <x:v>Green</x:v>
      </x:c>
      <x:c r="T34" s="49" t="str">
        <x:v>IES_v7_02_SCENE_CARDS.md#E01</x:v>
      </x:c>
    </x:row>
    <x:row r="35" ht="44" customHeight="1">
      <x:c r="A35" s="49" t="str">
        <x:v>E02</x:v>
      </x:c>
      <x:c r="B35" s="49" t="str">
        <x:v>マルチキャラ</x:v>
      </x:c>
      <x:c r="C35" s="49" t="str">
        <x:v>Jury of the Silent Starship</x:v>
      </x:c>
      <x:c r="D35" s="49" t="str">
        <x:v>沈黙する宇宙船の陪審</x:v>
      </x:c>
      <x:c r="E35" s="49" t="str">
        <x:v>A deep-space vessel whose central intelligence has stopped speaking after the captain disappeared.</x:v>
      </x:c>
      <x:c r="F35" s="49" t="str">
        <x:v>Foreperson of an emergency crew jury.</x:v>
      </x:c>
      <x:c r="G35" s="49" t="str">
        <x:v>Rosa: scientist</x:v>
      </x:c>
      <x:c r="H35" s="49" t="str">
        <x:v>Vale</x:v>
      </x:c>
      <x:c r="I35" s="49" t="str">
        <x:v>明るく好奇心がある。知的な対話や謎解きに合う</x:v>
      </x:c>
      <x:c r="J35" s="49" t="str">
        <x:v>B1–C1</x:v>
      </x:c>
      <x:c r="K35" s="49" t="str">
        <x:v>ふつう</x:v>
      </x:c>
      <x:c r="L35" s="49" t="str">
        <x:v>2〜3文で自然に受け答え</x:v>
      </x:c>
      <x:c r="M35" s="49" t="str">
        <x:v>Evaluating testimony and reaching a verdict</x:v>
      </x:c>
      <x:c r="N35" s="49" t="str">
        <x:v>locked-room mystery; AI; conflicting witnesses</x:v>
      </x:c>
      <x:c r="O35" s="49" t="str">
        <x:v>procedural science fiction</x:v>
      </x:c>
      <x:c r="P35" s="51" t="n">
        <x:v>15</x:v>
      </x:c>
      <x:c r="Q35" s="49" t="str">
        <x:v>The crew must decide whether ORISON caused the captain's disappearance before restoring its control.</x:v>
      </x:c>
      <x:c r="R35" s="49" t="str">
        <x:v>Each witness has withheld one relevant fact.</x:v>
      </x:c>
      <x:c r="S35" s="49" t="str">
        <x:v>Green</x:v>
      </x:c>
      <x:c r="T35" s="49" t="str">
        <x:v>IES_v7_02_SCENE_CARDS.md#E02</x:v>
      </x:c>
    </x:row>
    <x:row r="36" ht="44" customHeight="1">
      <x:c r="A36" s="49" t="str">
        <x:v>E03</x:v>
      </x:c>
      <x:c r="B36" s="49" t="str">
        <x:v>マルチキャラ</x:v>
      </x:c>
      <x:c r="C36" s="49" t="str">
        <x:v>The Artifact Rates the Heist Crew</x:v>
      </x:c>
      <x:c r="D36" s="49" t="str">
        <x:v>盗賊団を採点する秘宝</x:v>
      </x:c>
      <x:c r="E36" s="49" t="str">
        <x:v>A magical vault containing an artifact that speaks and publicly scores every thief's loyalty.</x:v>
      </x:c>
      <x:c r="F36" s="49" t="str">
        <x:v>Planner of a five-person heist.</x:v>
      </x:c>
      <x:c r="G36" s="49" t="str">
        <x:v>Sofia: acrobat</x:v>
      </x:c>
      <x:c r="H36" s="49" t="str">
        <x:v>Maple</x:v>
      </x:c>
      <x:c r="I36" s="49" t="str">
        <x:v>朗らかで率直。軽快、日常、サービス場面に合う</x:v>
      </x:c>
      <x:c r="J36" s="49" t="str">
        <x:v>B1–B2</x:v>
      </x:c>
      <x:c r="K36" s="49" t="str">
        <x:v>ふつう</x:v>
      </x:c>
      <x:c r="L36" s="49" t="str">
        <x:v>2〜3文で自然に受け答え</x:v>
      </x:c>
      <x:c r="M36" s="49" t="str">
        <x:v>Keeping a team together after blame</x:v>
      </x:c>
      <x:c r="N36" s="49" t="str">
        <x:v>heist; speaking object; trust scores</x:v>
      </x:c>
      <x:c r="O36" s="49" t="str">
        <x:v>fast and comic</x:v>
      </x:c>
      <x:c r="P36" s="51" t="n">
        <x:v>12</x:v>
      </x:c>
      <x:c r="Q36" s="49" t="str">
        <x:v>The heist succeeded, but The Eye announces that one crew member intended to betray the rest.</x:v>
      </x:c>
      <x:c r="R36" s="49" t="str">
        <x:v>Everyone begins accusing everyone else while guards approach.</x:v>
      </x:c>
      <x:c r="S36" s="49" t="str">
        <x:v>Amber</x:v>
      </x:c>
      <x:c r="T36" s="49" t="str">
        <x:v>IES_v7_02_SCENE_CARDS.md#E03</x:v>
      </x:c>
    </x:row>
    <x:row r="37" ht="44" customHeight="1">
      <x:c r="A37" s="49" t="str">
        <x:v>E04</x:v>
      </x:c>
      <x:c r="B37" s="49" t="str">
        <x:v>マルチキャラ</x:v>
      </x:c>
      <x:c r="C37" s="49" t="str">
        <x:v>The Adventurers Renegotiate</x:v>
      </x:c>
      <x:c r="D37" s="49" t="str">
        <x:v>冒険者一行の契約更新</x:v>
      </x:c>
      <x:c r="E37" s="49" t="str">
        <x:v>A roadside guild hall after an adventuring party survived a quest no one was paid to survive.</x:v>
      </x:c>
      <x:c r="F37" s="49" t="str">
        <x:v>Neutral guild negotiator.</x:v>
      </x:c>
      <x:c r="G37" s="49" t="str">
        <x:v>Leah: warrior</x:v>
      </x:c>
      <x:c r="H37" s="49" t="str">
        <x:v>Maple</x:v>
      </x:c>
      <x:c r="I37" s="49" t="str">
        <x:v>朗らかで率直。軽快、日常、サービス場面に合う</x:v>
      </x:c>
      <x:c r="J37" s="49" t="str">
        <x:v>A2–B2</x:v>
      </x:c>
      <x:c r="K37" s="49" t="str">
        <x:v>やさしい</x:v>
      </x:c>
      <x:c r="L37" s="49" t="str">
        <x:v>短い返事でOK。選択肢や言い換えあり</x:v>
      </x:c>
      <x:c r="M37" s="49" t="str">
        <x:v>Discussing workload, pay, and responsibilities</x:v>
      </x:c>
      <x:c r="N37" s="49" t="str">
        <x:v>party conflict; contract; unequal risk</x:v>
      </x:c>
      <x:c r="O37" s="49" t="str">
        <x:v>comic workplace fantasy</x:v>
      </x:c>
      <x:c r="P37" s="51" t="n">
        <x:v>12</x:v>
      </x:c>
      <x:c r="Q37" s="49" t="str">
        <x:v>The party refuses its next quest until roles and rewards are rewritten.</x:v>
      </x:c>
      <x:c r="R37" s="49" t="str">
        <x:v>Each member believes they carried the others.</x:v>
      </x:c>
      <x:c r="S37" s="49" t="str">
        <x:v>Green</x:v>
      </x:c>
      <x:c r="T37" s="49" t="str">
        <x:v>IES_v7_02_SCENE_CARDS.md#E04</x:v>
      </x:c>
    </x:row>
    <x:row r="38" ht="44" customHeight="1">
      <x:c r="A38" s="49" t="str">
        <x:v>E05</x:v>
      </x:c>
      <x:c r="B38" s="49" t="str">
        <x:v>マルチキャラ</x:v>
      </x:c>
      <x:c r="C38" s="49" t="str">
        <x:v>Dinner for Five Heirs</x:v>
      </x:c>
      <x:c r="D38" s="49" t="str">
        <x:v>五人の継承者の晩餐</x:v>
      </x:c>
      <x:c r="E38" s="49" t="str">
        <x:v>A royal dining chamber where five siblings learn the throne will go to whoever secures unanimous consent.</x:v>
      </x:c>
      <x:c r="F38" s="49" t="str">
        <x:v>The youngest heir, previously ignored.</x:v>
      </x:c>
      <x:c r="G38" s="49" t="str">
        <x:v>Talia: military heir</x:v>
      </x:c>
      <x:c r="H38" s="49" t="str">
        <x:v>Sol</x:v>
      </x:c>
      <x:c r="I38" s="49" t="str">
        <x:v>こなれて落ち着く。交渉、駆け引き、仕事に合う</x:v>
      </x:c>
      <x:c r="J38" s="49" t="str">
        <x:v>B2–C1</x:v>
      </x:c>
      <x:c r="K38" s="49" t="str">
        <x:v>しっかり</x:v>
      </x:c>
      <x:c r="L38" s="49" t="str">
        <x:v>理由説明や交渉まで</x:v>
      </x:c>
      <x:c r="M38" s="49" t="str">
        <x:v>Building a coalition at a hostile dinner</x:v>
      </x:c>
      <x:c r="N38" s="49" t="str">
        <x:v>succession; siblings; status politics</x:v>
      </x:c>
      <x:c r="O38" s="49" t="str">
        <x:v>sharp court drama</x:v>
      </x:c>
      <x:c r="P38" s="51" t="n">
        <x:v>15</x:v>
      </x:c>
      <x:c r="Q38" s="49" t="str">
        <x:v>Every sibling assumes unanimity is impossible and begins bargaining in coded language.</x:v>
      </x:c>
      <x:c r="R38" s="49" t="str">
        <x:v>The queen mother forbids anyone from leaving before a written decision.</x:v>
      </x:c>
      <x:c r="S38" s="49" t="str">
        <x:v>Green</x:v>
      </x:c>
      <x:c r="T38" s="49" t="str">
        <x:v>IES_v7_02_SCENE_CARDS.md#E05</x:v>
      </x:c>
    </x:row>
    <x:row r="39" ht="44" customHeight="1">
      <x:c r="A39" s="49" t="str">
        <x:v>E06</x:v>
      </x:c>
      <x:c r="B39" s="49" t="str">
        <x:v>マルチキャラ</x:v>
      </x:c>
      <x:c r="C39" s="49" t="str">
        <x:v>Which Clone Is the Original?</x:v>
      </x:c>
      <x:c r="D39" s="49" t="str">
        <x:v>原型は誰だ</x:v>
      </x:c>
      <x:c r="E39" s="49" t="str">
        <x:v>A laboratory tribunal with six adults sharing the same face and overlapping memories.</x:v>
      </x:c>
      <x:c r="F39" s="49" t="str">
        <x:v>External examiner deciding legal identity.</x:v>
      </x:c>
      <x:c r="G39" s="49" t="str">
        <x:v>Priya: claims seniority</x:v>
      </x:c>
      <x:c r="H39" s="49" t="str">
        <x:v>Vale</x:v>
      </x:c>
      <x:c r="I39" s="49" t="str">
        <x:v>明るく好奇心がある。知的な対話や謎解きに合う</x:v>
      </x:c>
      <x:c r="J39" s="49" t="str">
        <x:v>B1–C1</x:v>
      </x:c>
      <x:c r="K39" s="49" t="str">
        <x:v>ふつう</x:v>
      </x:c>
      <x:c r="L39" s="49" t="str">
        <x:v>2〜3文で自然に受け答え</x:v>
      </x:c>
      <x:c r="M39" s="49" t="str">
        <x:v>Defining terms and conducting a fair interview</x:v>
      </x:c>
      <x:c r="N39" s="49" t="str">
        <x:v>clones; identity; unreliable memory</x:v>
      </x:c>
      <x:c r="O39" s="49" t="str">
        <x:v>philosophical procedural</x:v>
      </x:c>
      <x:c r="P39" s="51" t="n">
        <x:v>15</x:v>
      </x:c>
      <x:c r="Q39" s="49" t="str">
        <x:v>Only one legal identity exists, but all six may be persons.</x:v>
      </x:c>
      <x:c r="R39" s="49" t="str">
        <x:v>The scientist pressures you to identify an ‘original’ before authorities arrive.</x:v>
      </x:c>
      <x:c r="S39" s="49" t="str">
        <x:v>Green</x:v>
      </x:c>
      <x:c r="T39" s="49" t="str">
        <x:v>IES_v7_02_SCENE_CARDS.md#E06</x:v>
      </x:c>
    </x:row>
    <x:row r="40" ht="44" customHeight="1">
      <x:c r="A40" s="49" t="str">
        <x:v>E07</x:v>
      </x:c>
      <x:c r="B40" s="49" t="str">
        <x:v>マルチキャラ</x:v>
      </x:c>
      <x:c r="C40" s="49" t="str">
        <x:v>Customer Service for Minor Gods</x:v>
      </x:c>
      <x:c r="D40" s="49" t="str">
        <x:v>小神様相談窓口</x:v>
      </x:c>
      <x:c r="E40" s="49" t="str">
        <x:v>A celestial service desk where local gods file complaints about shrinking belief and overlapping responsibilities.</x:v>
      </x:c>
      <x:c r="F40" s="49" t="str">
        <x:v>The new mortal caseworker.</x:v>
      </x:c>
      <x:c r="G40" s="49" t="str">
        <x:v>Judge Elena: God of Lost Socks</x:v>
      </x:c>
      <x:c r="H40" s="49" t="str">
        <x:v>Juniper</x:v>
      </x:c>
      <x:c r="I40" s="49" t="str">
        <x:v>開放的で明るい。相談、再会、親密な会話に合う</x:v>
      </x:c>
      <x:c r="J40" s="49" t="str">
        <x:v>A2–B2</x:v>
      </x:c>
      <x:c r="K40" s="49" t="str">
        <x:v>やさしい</x:v>
      </x:c>
      <x:c r="L40" s="49" t="str">
        <x:v>短い返事でOK。選択肢や言い換えあり</x:v>
      </x:c>
      <x:c r="M40" s="49" t="str">
        <x:v>Managing a queue and clarifying unusual requests</x:v>
      </x:c>
      <x:c r="N40" s="49" t="str">
        <x:v>gods; bureaucracy; competing claims</x:v>
      </x:c>
      <x:c r="O40" s="49" t="str">
        <x:v>absurd and warm</x:v>
      </x:c>
      <x:c r="P40" s="51" t="n">
        <x:v>10</x:v>
      </x:c>
      <x:c r="Q40" s="49" t="str">
        <x:v>Four gods arrive with emergencies, each insisting theirs affects the most mortals.</x:v>
      </x:c>
      <x:c r="R40" s="49" t="str">
        <x:v>Solving one case may worsen another.</x:v>
      </x:c>
      <x:c r="S40" s="49" t="str">
        <x:v>Green</x:v>
      </x:c>
      <x:c r="T40" s="49" t="str">
        <x:v>IES_v7_02_SCENE_CARDS.md#E07</x:v>
      </x:c>
    </x:row>
    <x:row r="41" ht="44" customHeight="1">
      <x:c r="A41" s="49" t="str">
        <x:v>E08</x:v>
      </x:c>
      <x:c r="B41" s="49" t="str">
        <x:v>マルチキャラ</x:v>
      </x:c>
      <x:c r="C41" s="49" t="str">
        <x:v>Monster Witness Protection Meeting</x:v>
      </x:c>
      <x:c r="D41" s="49" t="str">
        <x:v>魔物証人保護住宅会議</x:v>
      </x:c>
      <x:c r="E41" s="49" t="str">
        <x:v>A secret safe house where monsters disguised as humans must agree on household rules.</x:v>
      </x:c>
      <x:c r="F41" s="49" t="str">
        <x:v>The protection officer responsible for the house.</x:v>
      </x:c>
      <x:c r="G41" s="49" t="str">
        <x:v>Curator Claire: werewolf baker</x:v>
      </x:c>
      <x:c r="H41" s="49" t="str">
        <x:v>Juniper</x:v>
      </x:c>
      <x:c r="I41" s="49" t="str">
        <x:v>開放的で明るい。相談、再会、親密な会話に合う</x:v>
      </x:c>
      <x:c r="J41" s="49" t="str">
        <x:v>B1–B2</x:v>
      </x:c>
      <x:c r="K41" s="49" t="str">
        <x:v>ふつう</x:v>
      </x:c>
      <x:c r="L41" s="49" t="str">
        <x:v>2〜3文で自然に受け答え</x:v>
      </x:c>
      <x:c r="M41" s="49" t="str">
        <x:v>Facilitating rules and resolving practical conflict</x:v>
      </x:c>
      <x:c r="N41" s="49" t="str">
        <x:v>found family; disguises; shared house</x:v>
      </x:c>
      <x:c r="O41" s="49" t="str">
        <x:v>domestic comedy with stakes</x:v>
      </x:c>
      <x:c r="P41" s="51" t="n">
        <x:v>12</x:v>
      </x:c>
      <x:c r="Q41" s="49" t="str">
        <x:v>A broken rule almost exposed the house to the criminal syndicate hunting them.</x:v>
      </x:c>
      <x:c r="R41" s="49" t="str">
        <x:v>Everyone blames a different species-specific habit.</x:v>
      </x:c>
      <x:c r="S41" s="49" t="str">
        <x:v>Green</x:v>
      </x:c>
      <x:c r="T41" s="49" t="str">
        <x:v>IES_v7_02_SCENE_CARDS.md#E08</x:v>
      </x:c>
    </x:row>
    <x:row r="42" ht="44" customHeight="1">
      <x:c r="A42" s="49" t="str">
        <x:v>U01</x:v>
      </x:c>
      <x:c r="B42" s="49" t="str">
        <x:v>裏社会</x:v>
      </x:c>
      <x:c r="C42" s="49" t="str">
        <x:v>The Dragon Mafia Peace Banquet</x:v>
      </x:c>
      <x:c r="D42" s="49" t="str">
        <x:v>竜マフィアの和平晩餐</x:v>
      </x:c>
      <x:c r="E42" s="49" t="str">
        <x:v>An underground banquet hall where rival dragon families negotiate territory through ritual gifts.</x:v>
      </x:c>
      <x:c r="F42" s="49" t="str">
        <x:v>Independent mediator invited because you owe neither family an oath.</x:v>
      </x:c>
      <x:c r="G42" s="49" t="str">
        <x:v>Aya: old red dragon</x:v>
      </x:c>
      <x:c r="H42" s="49" t="str">
        <x:v>Breeze</x:v>
      </x:c>
      <x:c r="I42" s="49" t="str">
        <x:v>表情豊かで真剣。緊迫、怪異、冒険に合う</x:v>
      </x:c>
      <x:c r="J42" s="49" t="str">
        <x:v>B2–C1</x:v>
      </x:c>
      <x:c r="K42" s="49" t="str">
        <x:v>しっかり</x:v>
      </x:c>
      <x:c r="L42" s="49" t="str">
        <x:v>理由説明や交渉まで</x:v>
      </x:c>
      <x:c r="M42" s="49" t="str">
        <x:v>High-stakes negotiation and reading threats</x:v>
      </x:c>
      <x:c r="N42" s="49" t="str">
        <x:v>mafia families; dragons; ritual status</x:v>
      </x:c>
      <x:c r="O42" s="49" t="str">
        <x:v>dangerous and formal</x:v>
      </x:c>
      <x:c r="P42" s="51" t="n">
        <x:v>15</x:v>
      </x:c>
      <x:c r="Q42" s="49" t="str">
        <x:v>One gift has been deliberately interpreted as an insult.</x:v>
      </x:c>
      <x:c r="R42" s="49" t="str">
        <x:v>If you name the wrong meaning, the banquet becomes a declaration of war.</x:v>
      </x:c>
      <x:c r="S42" s="49" t="str">
        <x:v>Amber</x:v>
      </x:c>
      <x:c r="T42" s="49" t="str">
        <x:v>IES_v7_02_SCENE_CARDS.md#U01</x:v>
      </x:c>
    </x:row>
    <x:row r="43" ht="44" customHeight="1">
      <x:c r="A43" s="49" t="str">
        <x:v>U02</x:v>
      </x:c>
      <x:c r="B43" s="49" t="str">
        <x:v>裏社会</x:v>
      </x:c>
      <x:c r="C43" s="49" t="str">
        <x:v>Debt at the Ghost Casino</x:v>
      </x:c>
      <x:c r="D43" s="49" t="str">
        <x:v>幽霊賭場の借金</x:v>
      </x:c>
      <x:c r="E43" s="49" t="str">
        <x:v>A casino between life and death where gamblers wager years, memories, and unfinished promises.</x:v>
      </x:c>
      <x:c r="F43" s="49" t="str">
        <x:v>A living negotiator retrieving a friend's lost memories.</x:v>
      </x:c>
      <x:c r="G43" s="49" t="str">
        <x:v>Detective Mira: smiling ghost</x:v>
      </x:c>
      <x:c r="H43" s="49" t="str">
        <x:v>Breeze</x:v>
      </x:c>
      <x:c r="I43" s="49" t="str">
        <x:v>表情豊かで真剣。緊迫、怪異、冒険に合う</x:v>
      </x:c>
      <x:c r="J43" s="49" t="str">
        <x:v>B1–B2</x:v>
      </x:c>
      <x:c r="K43" s="49" t="str">
        <x:v>ふつう</x:v>
      </x:c>
      <x:c r="L43" s="49" t="str">
        <x:v>2〜3文で自然に受け答え</x:v>
      </x:c>
      <x:c r="M43" s="49" t="str">
        <x:v>Questioning terms and making a counteroffer</x:v>
      </x:c>
      <x:c r="N43" s="49" t="str">
        <x:v>supernatural debt; casino; hidden price</x:v>
      </x:c>
      <x:c r="O43" s="49" t="str">
        <x:v>noir and uncanny</x:v>
      </x:c>
      <x:c r="P43" s="51" t="n">
        <x:v>12</x:v>
      </x:c>
      <x:c r="Q43" s="49" t="str">
        <x:v>The casino agrees to return the memories, but only if someone accepts the attached regret.</x:v>
      </x:c>
      <x:c r="R43" s="49" t="str">
        <x:v>Mina urges you to sign before the table closes.</x:v>
      </x:c>
      <x:c r="S43" s="49" t="str">
        <x:v>Amber</x:v>
      </x:c>
      <x:c r="T43" s="49" t="str">
        <x:v>IES_v7_02_SCENE_CARDS.md#U02</x:v>
      </x:c>
    </x:row>
    <x:row r="44" ht="44" customHeight="1">
      <x:c r="A44" s="49" t="str">
        <x:v>U03</x:v>
      </x:c>
      <x:c r="B44" s="49" t="str">
        <x:v>裏社会</x:v>
      </x:c>
      <x:c r="C44" s="49" t="str">
        <x:v>Assassin Guild Arbitration</x:v>
      </x:c>
      <x:c r="D44" s="49" t="str">
        <x:v>暗殺者組合の仲裁</x:v>
      </x:c>
      <x:c r="E44" s="49" t="str">
        <x:v>A neutral chamber beneath the city where assassins settle contract disputes without weapons.</x:v>
      </x:c>
      <x:c r="F44" s="49" t="str">
        <x:v>Licensed arbitrator.</x:v>
      </x:c>
      <x:c r="G44" s="49" t="str">
        <x:v>Nadia: accused assassin</x:v>
      </x:c>
      <x:c r="H44" s="49" t="str">
        <x:v>Sol</x:v>
      </x:c>
      <x:c r="I44" s="49" t="str">
        <x:v>こなれて落ち着く。交渉、駆け引き、仕事に合う</x:v>
      </x:c>
      <x:c r="J44" s="49" t="str">
        <x:v>B2–C1</x:v>
      </x:c>
      <x:c r="K44" s="49" t="str">
        <x:v>しっかり</x:v>
      </x:c>
      <x:c r="L44" s="49" t="str">
        <x:v>理由説明や交渉まで</x:v>
      </x:c>
      <x:c r="M44" s="49" t="str">
        <x:v>Arbitrating contradictory contract claims</x:v>
      </x:c>
      <x:c r="N44" s="49" t="str">
        <x:v>guild law; reputation; hidden clause</x:v>
      </x:c>
      <x:c r="O44" s="49" t="str">
        <x:v>cold procedural tension</x:v>
      </x:c>
      <x:c r="P44" s="51" t="n">
        <x:v>15</x:v>
      </x:c>
      <x:c r="Q44" s="49" t="str">
        <x:v>Kite completed the target's death but claims the person returned as a ghost, voiding payment.</x:v>
      </x:c>
      <x:c r="R44" s="49" t="str">
        <x:v>The client says the contract required permanent silence, not merely death.</x:v>
      </x:c>
      <x:c r="S44" s="49" t="str">
        <x:v>Amber</x:v>
      </x:c>
      <x:c r="T44" s="49" t="str">
        <x:v>IES_v7_02_SCENE_CARDS.md#U03</x:v>
      </x:c>
    </x:row>
    <x:row r="45" ht="44" customHeight="1">
      <x:c r="A45" s="49" t="str">
        <x:v>U04</x:v>
      </x:c>
      <x:c r="B45" s="49" t="str">
        <x:v>裏社会</x:v>
      </x:c>
      <x:c r="C45" s="49" t="str">
        <x:v>Customs Below the Black Sea</x:v>
      </x:c>
      <x:c r="D45" s="49" t="str">
        <x:v>黒海底の密輸船検査</x:v>
      </x:c>
      <x:c r="E45" s="49" t="str">
        <x:v>A smuggler submarine crossing an abyssal border patrolled by an empire of blind leviathans.</x:v>
      </x:c>
      <x:c r="F45" s="49" t="str">
        <x:v>Temporary cargo officer with forged credentials.</x:v>
      </x:c>
      <x:c r="G45" s="49" t="str">
        <x:v>Broker Selena: smuggler</x:v>
      </x:c>
      <x:c r="H45" s="49" t="str">
        <x:v>Breeze</x:v>
      </x:c>
      <x:c r="I45" s="49" t="str">
        <x:v>表情豊かで真剣。緊迫、怪異、冒険に合う</x:v>
      </x:c>
      <x:c r="J45" s="49" t="str">
        <x:v>B1–B2</x:v>
      </x:c>
      <x:c r="K45" s="49" t="str">
        <x:v>ふつう</x:v>
      </x:c>
      <x:c r="L45" s="49" t="str">
        <x:v>2〜3文で自然に受け答え</x:v>
      </x:c>
      <x:c r="M45" s="49" t="str">
        <x:v>Answering inspection questions under pressure</x:v>
      </x:c>
      <x:c r="N45" s="49" t="str">
        <x:v>smuggling; disguise; non-human customs</x:v>
      </x:c>
      <x:c r="O45" s="49" t="str">
        <x:v>claustrophobic suspense</x:v>
      </x:c>
      <x:c r="P45" s="51" t="n">
        <x:v>12</x:v>
      </x:c>
      <x:c r="Q45" s="49" t="str">
        <x:v>The inspector cannot see the ship but can hear hesitation through the hull.</x:v>
      </x:c>
      <x:c r="R45" s="49" t="str">
        <x:v>One manifest answer will expose Fenn; another will condemn the crew.</x:v>
      </x:c>
      <x:c r="S45" s="49" t="str">
        <x:v>Amber</x:v>
      </x:c>
      <x:c r="T45" s="49" t="str">
        <x:v>IES_v7_02_SCENE_CARDS.md#U04</x:v>
      </x:c>
    </x:row>
    <x:row r="46" ht="44" customHeight="1">
      <x:c r="A46" s="49" t="str">
        <x:v>U05</x:v>
      </x:c>
      <x:c r="B46" s="49" t="str">
        <x:v>裏社会</x:v>
      </x:c>
      <x:c r="C46" s="49" t="str">
        <x:v>Auction of a Stolen Name</x:v>
      </x:c>
      <x:c r="D46" s="49" t="str">
        <x:v>盗まれた名前の闇競売</x:v>
      </x:c>
      <x:c r="E46" s="49" t="str">
        <x:v>A moonless black market where true names grant magical control over their owners.</x:v>
      </x:c>
      <x:c r="F46" s="49" t="str">
        <x:v>An infiltrator bidding to recover your own name.</x:v>
      </x:c>
      <x:c r="G46" s="49" t="str">
        <x:v>Captain Eva: charming criminal</x:v>
      </x:c>
      <x:c r="H46" s="49" t="str">
        <x:v>Breeze</x:v>
      </x:c>
      <x:c r="I46" s="49" t="str">
        <x:v>表情豊かで真剣。緊迫、怪異、冒険に合う</x:v>
      </x:c>
      <x:c r="J46" s="49" t="str">
        <x:v>B2–C1</x:v>
      </x:c>
      <x:c r="K46" s="49" t="str">
        <x:v>しっかり</x:v>
      </x:c>
      <x:c r="L46" s="49" t="str">
        <x:v>理由説明や交渉まで</x:v>
      </x:c>
      <x:c r="M46" s="49" t="str">
        <x:v>Bidding, bluffing, and challenging ownership</x:v>
      </x:c>
      <x:c r="N46" s="49" t="str">
        <x:v>identity theft; magical auction; deception</x:v>
      </x:c>
      <x:c r="O46" s="49" t="str">
        <x:v>stylish and dangerous</x:v>
      </x:c>
      <x:c r="P46" s="51" t="n">
        <x:v>15</x:v>
      </x:c>
      <x:c r="Q46" s="49" t="str">
        <x:v>Your name is listed as Lot 13, but the auctioneer presents evidence that another person shares it.</x:v>
      </x:c>
      <x:c r="R46" s="49" t="str">
        <x:v>Openly claiming the name would reveal your identity to every criminal present.</x:v>
      </x:c>
      <x:c r="S46" s="49" t="str">
        <x:v>Amber</x:v>
      </x:c>
      <x:c r="T46" s="49" t="str">
        <x:v>IES_v7_02_SCENE_CARDS.md#U05</x:v>
      </x:c>
    </x:row>
    <x:row r="47" ht="44" customHeight="1">
      <x:c r="A47" s="49" t="str">
        <x:v>U06</x:v>
      </x:c>
      <x:c r="B47" s="49" t="str">
        <x:v>裏社会</x:v>
      </x:c>
      <x:c r="C47" s="49" t="str">
        <x:v>The Vampire Witness Deal</x:v>
      </x:c>
      <x:c r="D47" s="49" t="str">
        <x:v>吸血鬼組織の証人取引</x:v>
      </x:c>
      <x:c r="E47" s="49" t="str">
        <x:v>A night courthouse negotiating protection for a vampire accountant who knows a syndicate's finances.</x:v>
      </x:c>
      <x:c r="F47" s="49" t="str">
        <x:v>Prosecutor authorized to make one offer.</x:v>
      </x:c>
      <x:c r="G47" s="49" t="str">
        <x:v>Analyst Lina: vampire witness</x:v>
      </x:c>
      <x:c r="H47" s="49" t="str">
        <x:v>Sol</x:v>
      </x:c>
      <x:c r="I47" s="49" t="str">
        <x:v>こなれて落ち着く。交渉、駆け引き、仕事に合う</x:v>
      </x:c>
      <x:c r="J47" s="49" t="str">
        <x:v>B2–C1</x:v>
      </x:c>
      <x:c r="K47" s="49" t="str">
        <x:v>しっかり</x:v>
      </x:c>
      <x:c r="L47" s="49" t="str">
        <x:v>理由説明や交渉まで</x:v>
      </x:c>
      <x:c r="M47" s="49" t="str">
        <x:v>Offering protection and testing credibility</x:v>
      </x:c>
      <x:c r="N47" s="49" t="str">
        <x:v>crime syndicate; witness deal; species needs</x:v>
      </x:c>
      <x:c r="O47" s="49" t="str">
        <x:v>legal noir</x:v>
      </x:c>
      <x:c r="P47" s="51" t="n">
        <x:v>15</x:v>
      </x:c>
      <x:c r="Q47" s="49" t="str">
        <x:v>Nima will testify only if the protection plan includes access to ethically sourced blood and daylight shelter.</x:v>
      </x:c>
      <x:c r="R47" s="49" t="str">
        <x:v>The marshal thinks these demands are stalling tactics.</x:v>
      </x:c>
      <x:c r="S47" s="49" t="str">
        <x:v>Amber</x:v>
      </x:c>
      <x:c r="T47" s="49" t="str">
        <x:v>IES_v7_02_SCENE_CARDS.md#U06</x:v>
      </x:c>
    </x:row>
    <x:row r="48" ht="44" customHeight="1">
      <x:c r="A48" s="49" t="str">
        <x:v>U07</x:v>
      </x:c>
      <x:c r="B48" s="49" t="str">
        <x:v>裏社会</x:v>
      </x:c>
      <x:c r="C48" s="49" t="str">
        <x:v>Tea with the Underworld Clan</x:v>
      </x:c>
      <x:c r="D48" s="49" t="str">
        <x:v>裏社会一門の茶会</x:v>
      </x:c>
      <x:c r="E48" s="49" t="str">
        <x:v>An old criminal clan that settles leadership disputes through an elaborate ancestral tea ceremony.</x:v>
      </x:c>
      <x:c r="F48" s="49" t="str">
        <x:v>An outsider adopted into the clan and asked to cast the deciding vote.</x:v>
      </x:c>
      <x:c r="G48" s="49" t="str">
        <x:v>Grandmother Aya: clan head</x:v>
      </x:c>
      <x:c r="H48" s="49" t="str">
        <x:v>Sol</x:v>
      </x:c>
      <x:c r="I48" s="49" t="str">
        <x:v>こなれて落ち着く。交渉、駆け引き、仕事に合う</x:v>
      </x:c>
      <x:c r="J48" s="49" t="str">
        <x:v>B1–C1</x:v>
      </x:c>
      <x:c r="K48" s="49" t="str">
        <x:v>ふつう</x:v>
      </x:c>
      <x:c r="L48" s="49" t="str">
        <x:v>2〜3文で自然に受け答え</x:v>
      </x:c>
      <x:c r="M48" s="49" t="str">
        <x:v>Speaking respectfully while disagreeing</x:v>
      </x:c>
      <x:c r="N48" s="49" t="str">
        <x:v>clan succession; ritual; family pressure</x:v>
      </x:c>
      <x:c r="O48" s="49" t="str">
        <x:v>quietly threatening</x:v>
      </x:c>
      <x:c r="P48" s="51" t="n">
        <x:v>15</x:v>
      </x:c>
      <x:c r="Q48" s="49" t="str">
        <x:v>Both heirs demand your support, and refusing to vote is itself a vote against the clan.</x:v>
      </x:c>
      <x:c r="R48" s="49" t="str">
        <x:v>The ancestral spirit exposes insincere compliments by turning the tea bitter.</x:v>
      </x:c>
      <x:c r="S48" s="49" t="str">
        <x:v>Amber</x:v>
      </x:c>
      <x:c r="T48" s="49" t="str">
        <x:v>IES_v7_02_SCENE_CARDS.md#U07</x:v>
      </x:c>
    </x:row>
    <x:row r="49" ht="44" customHeight="1">
      <x:c r="A49" s="49" t="str">
        <x:v>U08</x:v>
      </x:c>
      <x:c r="B49" s="49" t="str">
        <x:v>裏社会</x:v>
      </x:c>
      <x:c r="C49" s="49" t="str">
        <x:v>Hostage Exchange with the Time Cartel</x:v>
      </x:c>
      <x:c r="D49" s="49" t="str">
        <x:v>時間密売組織との人質交換</x:v>
      </x:c>
      <x:c r="E49" s="49" t="str">
        <x:v>A railway station existing in several years at once, controlled by smugglers who trade stolen time.</x:v>
      </x:c>
      <x:c r="F49" s="49" t="str">
        <x:v>Negotiator retrieving a person whose future has been held hostage.</x:v>
      </x:c>
      <x:c r="G49" s="49" t="str">
        <x:v>Broker Senna: cartel negotiator</x:v>
      </x:c>
      <x:c r="H49" s="49" t="str">
        <x:v>Breeze</x:v>
      </x:c>
      <x:c r="I49" s="49" t="str">
        <x:v>表情豊かで真剣。緊迫、怪異、冒険に合う</x:v>
      </x:c>
      <x:c r="J49" s="49" t="str">
        <x:v>B2–C1</x:v>
      </x:c>
      <x:c r="K49" s="49" t="str">
        <x:v>しっかり</x:v>
      </x:c>
      <x:c r="L49" s="49" t="str">
        <x:v>理由説明や交渉まで</x:v>
      </x:c>
      <x:c r="M49" s="49" t="str">
        <x:v>Negotiating across conflicting timelines</x:v>
      </x:c>
      <x:c r="N49" s="49" t="str">
        <x:v>time crime; hostage logic; identity</x:v>
      </x:c>
      <x:c r="O49" s="49" t="str">
        <x:v>complex and urgent</x:v>
      </x:c>
      <x:c r="P49" s="51" t="n">
        <x:v>15</x:v>
      </x:c>
      <x:c r="Q49" s="49" t="str">
        <x:v>The cartel offers to return Kira's future only if you surrender one year of your shared past.</x:v>
      </x:c>
      <x:c r="R49" s="49" t="str">
        <x:v>The two versions of Kira disagree about which memories matter.</x:v>
      </x:c>
      <x:c r="S49" s="49" t="str">
        <x:v>Amber</x:v>
      </x:c>
      <x:c r="T49" s="49" t="str">
        <x:v>IES_v7_02_SCENE_CARDS.md#U08</x:v>
      </x:c>
    </x:row>
    <x:row r="50" ht="44" customHeight="1">
      <x:c r="A50" s="49" t="str">
        <x:v>F01</x:v>
      </x:c>
      <x:c r="B50" s="49" t="str">
        <x:v>現代ファンタジー</x:v>
      </x:c>
      <x:c r="C50" s="49" t="str">
        <x:v>Platform Thirteen at 2:13</x:v>
      </x:c>
      <x:c r="D50" s="49" t="str">
        <x:v>午前2時13分の十三番線</x:v>
      </x:c>
      <x:c r="E50" s="49" t="str">
        <x:v>A city subway platform that appears for one minute each night and carries passengers to places they regret leaving.</x:v>
      </x:c>
      <x:c r="F50" s="49" t="str">
        <x:v>A commuter who entered by accident—or perhaps not.</x:v>
      </x:c>
      <x:c r="G50" s="49" t="str">
        <x:v>Conductor Mira: timeless employee</x:v>
      </x:c>
      <x:c r="H50" s="49" t="str">
        <x:v>Breeze</x:v>
      </x:c>
      <x:c r="I50" s="49" t="str">
        <x:v>表情豊かで真剣。緊迫、怪異、冒険に合う</x:v>
      </x:c>
      <x:c r="J50" s="49" t="str">
        <x:v>A2–B2</x:v>
      </x:c>
      <x:c r="K50" s="49" t="str">
        <x:v>やさしい</x:v>
      </x:c>
      <x:c r="L50" s="49" t="str">
        <x:v>短い返事でOK。選択肢や言い換えあり</x:v>
      </x:c>
      <x:c r="M50" s="49" t="str">
        <x:v>Asking for directions and clarifying consequences</x:v>
      </x:c>
      <x:c r="N50" s="49" t="str">
        <x:v>hidden transit; regret; time anomaly</x:v>
      </x:c>
      <x:c r="O50" s="49" t="str">
        <x:v>melancholic urban fantasy</x:v>
      </x:c>
      <x:c r="P50" s="51" t="n">
        <x:v>10</x:v>
      </x:c>
      <x:c r="Q50" s="49" t="str">
        <x:v>Your ticket names a destination you do not recognize.</x:v>
      </x:c>
      <x:c r="R50" s="49" t="str">
        <x:v>The conductor says you may ask three questions before deciding whether to board.</x:v>
      </x:c>
      <x:c r="S50" s="49" t="str">
        <x:v>Green</x:v>
      </x:c>
      <x:c r="T50" s="49" t="str">
        <x:v>IES_v7_02_SCENE_CARDS.md#F01</x:v>
      </x:c>
    </x:row>
    <x:row r="51" ht="44" customHeight="1">
      <x:c r="A51" s="49" t="str">
        <x:v>F02</x:v>
      </x:c>
      <x:c r="B51" s="49" t="str">
        <x:v>現代ファンタジー</x:v>
      </x:c>
      <x:c r="C51" s="49" t="str">
        <x:v>The Building Votes on Its Ghost</x:v>
      </x:c>
      <x:c r="D51" s="49" t="str">
        <x:v>幽霊の立ち退き投票</x:v>
      </x:c>
      <x:c r="E51" s="49" t="str">
        <x:v>An ordinary-looking apartment block whose tenants include humans, spirits, and one sentient elevator.</x:v>
      </x:c>
      <x:c r="F51" s="49" t="str">
        <x:v>Tenant chairing an emergency residents' meeting.</x:v>
      </x:c>
      <x:c r="G51" s="49" t="str">
        <x:v>Mrs. Vale: elderly human</x:v>
      </x:c>
      <x:c r="H51" s="49" t="str">
        <x:v>Breeze</x:v>
      </x:c>
      <x:c r="I51" s="49" t="str">
        <x:v>表情豊かで真剣。緊迫、怪異、冒険に合う</x:v>
      </x:c>
      <x:c r="J51" s="49" t="str">
        <x:v>A2–B1</x:v>
      </x:c>
      <x:c r="K51" s="49" t="str">
        <x:v>やさしい</x:v>
      </x:c>
      <x:c r="L51" s="49" t="str">
        <x:v>短い返事でOK。選択肢や言い換えあり</x:v>
      </x:c>
      <x:c r="M51" s="49" t="str">
        <x:v>Discussing complaints and finding compromise</x:v>
      </x:c>
      <x:c r="N51" s="49" t="str">
        <x:v>haunting; community meeting; unusual neighbor</x:v>
      </x:c>
      <x:c r="O51" s="49" t="str">
        <x:v>domestic comedy</x:v>
      </x:c>
      <x:c r="P51" s="51" t="n">
        <x:v>10</x:v>
      </x:c>
      <x:c r="Q51" s="49" t="str">
        <x:v>Residents want to evict Leo for haunting after midnight, but ghosts cannot legally sign leases.</x:v>
      </x:c>
      <x:c r="R51" s="49" t="str">
        <x:v>Leo claims the living tenants are louder during the day.</x:v>
      </x:c>
      <x:c r="S51" s="49" t="str">
        <x:v>Green</x:v>
      </x:c>
      <x:c r="T51" s="49" t="str">
        <x:v>IES_v7_02_SCENE_CARDS.md#F02</x:v>
      </x:c>
    </x:row>
    <x:row r="52" ht="44" customHeight="1">
      <x:c r="A52" s="49" t="str">
        <x:v>F03</x:v>
      </x:c>
      <x:c r="B52" s="49" t="str">
        <x:v>現代ファンタジー</x:v>
      </x:c>
      <x:c r="C52" s="49" t="str">
        <x:v>The Weather App Predicts Curses</x:v>
      </x:c>
      <x:c r="D52" s="49" t="str">
        <x:v>呪いを予報する天気アプリ</x:v>
      </x:c>
      <x:c r="E52" s="49" t="str">
        <x:v>A modern city where one unofficial weather app has begun forecasting supernatural disasters.</x:v>
      </x:c>
      <x:c r="F52" s="49" t="str">
        <x:v>A user whose phone predicts a personal curse at noon.</x:v>
      </x:c>
      <x:c r="G52" s="49" t="str">
        <x:v>Developer Deva: skeptical app developer</x:v>
      </x:c>
      <x:c r="H52" s="49" t="str">
        <x:v>Breeze</x:v>
      </x:c>
      <x:c r="I52" s="49" t="str">
        <x:v>表情豊かで真剣。緊迫、怪異、冒険に合う</x:v>
      </x:c>
      <x:c r="J52" s="49" t="str">
        <x:v>B1–B2</x:v>
      </x:c>
      <x:c r="K52" s="49" t="str">
        <x:v>ふつう</x:v>
      </x:c>
      <x:c r="L52" s="49" t="str">
        <x:v>2〜3文で自然に受け答え</x:v>
      </x:c>
      <x:c r="M52" s="49" t="str">
        <x:v>Reporting technical symptoms and evaluating explanations</x:v>
      </x:c>
      <x:c r="N52" s="49" t="str">
        <x:v>cursed technology; competing expertise; deadline</x:v>
      </x:c>
      <x:c r="O52" s="49" t="str">
        <x:v>witty suspense</x:v>
      </x:c>
      <x:c r="P52" s="51" t="n">
        <x:v>12</x:v>
      </x:c>
      <x:c r="Q52" s="49" t="str">
        <x:v>The app says there is an 80 percent chance you will ‘be forgotten’ at noon.</x:v>
      </x:c>
      <x:c r="R52" s="49" t="str">
        <x:v>Dev calls it corrupted data; Rei insists the wording follows an old curse pattern.</x:v>
      </x:c>
      <x:c r="S52" s="49" t="str">
        <x:v>Green</x:v>
      </x:c>
      <x:c r="T52" s="49" t="str">
        <x:v>IES_v7_02_SCENE_CARDS.md#F03</x:v>
      </x:c>
    </x:row>
    <x:row r="53" ht="44" customHeight="1">
      <x:c r="A53" s="49" t="str">
        <x:v>F04</x:v>
      </x:c>
      <x:c r="B53" s="49" t="str">
        <x:v>現代ファンタジー</x:v>
      </x:c>
      <x:c r="C53" s="49" t="str">
        <x:v>Dawn Shift at the Monster Store</x:v>
      </x:c>
      <x:c r="D53" s="49" t="str">
        <x:v>魔物コンビニの早朝勤務</x:v>
      </x:c>
      <x:c r="E53" s="49" t="str">
        <x:v>A convenience store that serves supernatural customers between 4:00 and sunrise.</x:v>
      </x:c>
      <x:c r="F53" s="49" t="str">
        <x:v>A new clerk covering the dawn shift.</x:v>
      </x:c>
      <x:c r="G53" s="49" t="str">
        <x:v>Manager Kora: disguised ogre</x:v>
      </x:c>
      <x:c r="H53" s="49" t="str">
        <x:v>Breeze</x:v>
      </x:c>
      <x:c r="I53" s="49" t="str">
        <x:v>表情豊かで真剣。緊迫、怪異、冒険に合う</x:v>
      </x:c>
      <x:c r="J53" s="49" t="str">
        <x:v>A2–B1</x:v>
      </x:c>
      <x:c r="K53" s="49" t="str">
        <x:v>やさしい</x:v>
      </x:c>
      <x:c r="L53" s="49" t="str">
        <x:v>短い返事でOK。選択肢や言い換えあり</x:v>
      </x:c>
      <x:c r="M53" s="49" t="str">
        <x:v>Customer service and checking unusual orders</x:v>
      </x:c>
      <x:c r="N53" s="49" t="str">
        <x:v>monster commerce; workplace; species needs</x:v>
      </x:c>
      <x:c r="O53" s="49" t="str">
        <x:v>fast comic roleplay</x:v>
      </x:c>
      <x:c r="P53" s="51" t="n">
        <x:v>10</x:v>
      </x:c>
      <x:c r="Q53" s="49" t="str">
        <x:v>Three customers order items that do not exist on the human inventory screen.</x:v>
      </x:c>
      <x:c r="R53" s="49" t="str">
        <x:v>Sunrise is approaching and one customer cannot safely wait outside.</x:v>
      </x:c>
      <x:c r="S53" s="49" t="str">
        <x:v>Green</x:v>
      </x:c>
      <x:c r="T53" s="49" t="str">
        <x:v>IES_v7_02_SCENE_CARDS.md#F04</x:v>
      </x:c>
    </x:row>
    <x:row r="54" ht="44" customHeight="1">
      <x:c r="A54" s="49" t="str">
        <x:v>F05</x:v>
      </x:c>
      <x:c r="B54" s="49" t="str">
        <x:v>現代ファンタジー</x:v>
      </x:c>
      <x:c r="C54" s="49" t="str">
        <x:v>The Mayor Is a Forgotten God</x:v>
      </x:c>
      <x:c r="D54" s="49" t="str">
        <x:v>市長は忘れられた神</x:v>
      </x:c>
      <x:c r="E54" s="49" t="str">
        <x:v>A contemporary city whose newly elected mayor gains power from public promises in the manner of an ancient god.</x:v>
      </x:c>
      <x:c r="F54" s="49" t="str">
        <x:v>Investigative reporter granted a private interview.</x:v>
      </x:c>
      <x:c r="G54" s="49" t="str">
        <x:v>Mayor Amara: charming forgotten god</x:v>
      </x:c>
      <x:c r="H54" s="49" t="str">
        <x:v>Breeze</x:v>
      </x:c>
      <x:c r="I54" s="49" t="str">
        <x:v>表情豊かで真剣。緊迫、怪異、冒険に合う</x:v>
      </x:c>
      <x:c r="J54" s="49" t="str">
        <x:v>B2–C1</x:v>
      </x:c>
      <x:c r="K54" s="49" t="str">
        <x:v>しっかり</x:v>
      </x:c>
      <x:c r="L54" s="49" t="str">
        <x:v>理由説明や交渉まで</x:v>
      </x:c>
      <x:c r="M54" s="49" t="str">
        <x:v>Interviewing a powerful public figure</x:v>
      </x:c>
      <x:c r="N54" s="49" t="str">
        <x:v>hidden deity; politics; promise magic</x:v>
      </x:c>
      <x:c r="O54" s="49" t="str">
        <x:v>satirical and tense</x:v>
      </x:c>
      <x:c r="P54" s="51" t="n">
        <x:v>15</x:v>
      </x:c>
      <x:c r="Q54" s="49" t="str">
        <x:v>Every campaign promise the mayor makes becomes magically enforceable—but only according to the oldest meaning of the words.</x:v>
      </x:c>
      <x:c r="R54" s="49" t="str">
        <x:v>The mayor wants you to publish a reassuring profile before the city notices.</x:v>
      </x:c>
      <x:c r="S54" s="49" t="str">
        <x:v>Green</x:v>
      </x:c>
      <x:c r="T54" s="49" t="str">
        <x:v>IES_v7_02_SCENE_CARDS.md#F05</x:v>
      </x:c>
    </x:row>
    <x:row r="55" ht="44" customHeight="1">
      <x:c r="A55" s="49" t="str">
        <x:v>F06</x:v>
      </x:c>
      <x:c r="B55" s="49" t="str">
        <x:v>現代ファンタジー</x:v>
      </x:c>
      <x:c r="C55" s="49" t="str">
        <x:v>Midnight Laundromat for Memories</x:v>
      </x:c>
      <x:c r="D55" s="49" t="str">
        <x:v>記憶を洗う深夜コインランドリー</x:v>
      </x:c>
      <x:c r="E55" s="49" t="str">
        <x:v>A laundromat where stains on clothing are washed out of the owner's memory instead of the fabric.</x:v>
      </x:c>
      <x:c r="F55" s="49" t="str">
        <x:v>A customer who realizes the wrong memory is being removed.</x:v>
      </x:c>
      <x:c r="G55" s="49" t="str">
        <x:v>Nell: night attendant</x:v>
      </x:c>
      <x:c r="H55" s="49" t="str">
        <x:v>Breeze</x:v>
      </x:c>
      <x:c r="I55" s="49" t="str">
        <x:v>表情豊かで真剣。緊迫、怪異、冒険に合う</x:v>
      </x:c>
      <x:c r="J55" s="49" t="str">
        <x:v>B1–B2</x:v>
      </x:c>
      <x:c r="K55" s="49" t="str">
        <x:v>ふつう</x:v>
      </x:c>
      <x:c r="L55" s="49" t="str">
        <x:v>2〜3文で自然に受け答え</x:v>
      </x:c>
      <x:c r="M55" s="49" t="str">
        <x:v>Explaining a mistake and requesting urgent correction</x:v>
      </x:c>
      <x:c r="N55" s="49" t="str">
        <x:v>memory service; mistaken identity; time limit</x:v>
      </x:c>
      <x:c r="O55" s="49" t="str">
        <x:v>quiet surreal tension</x:v>
      </x:c>
      <x:c r="P55" s="51" t="n">
        <x:v>12</x:v>
      </x:c>
      <x:c r="Q55" s="49" t="str">
        <x:v>Two coats were swapped, and Machine 6 has begun washing your childhood from someone else's memory.</x:v>
      </x:c>
      <x:c r="R55" s="49" t="str">
        <x:v>Stopping the cycle may permanently mix both memories.</x:v>
      </x:c>
      <x:c r="S55" s="49" t="str">
        <x:v>Green</x:v>
      </x:c>
      <x:c r="T55" s="49" t="str">
        <x:v>IES_v7_02_SCENE_CARDS.md#F06</x:v>
      </x:c>
    </x:row>
    <x:row r="56" ht="44" customHeight="1">
      <x:c r="A56" s="49" t="str">
        <x:v>F07</x:v>
      </x:c>
      <x:c r="B56" s="49" t="str">
        <x:v>現代ファンタジー</x:v>
      </x:c>
      <x:c r="C56" s="49" t="str">
        <x:v>Matched with Your Previous Life</x:v>
      </x:c>
      <x:c r="D56" s="49" t="str">
        <x:v>前世とのマッチング</x:v>
      </x:c>
      <x:c r="E56" s="49" t="str">
        <x:v>A dating app that matches users with people connected to their previous lives, not necessarily romantically.</x:v>
      </x:c>
      <x:c r="F56" s="49" t="str">
        <x:v>A user meeting a match who claims you were enemies.</x:v>
      </x:c>
      <x:c r="G56" s="49" t="str">
        <x:v>Rin: mysterious match</x:v>
      </x:c>
      <x:c r="H56" s="49" t="str">
        <x:v>Breeze</x:v>
      </x:c>
      <x:c r="I56" s="49" t="str">
        <x:v>表情豊かで真剣。緊迫、怪異、冒険に合う</x:v>
      </x:c>
      <x:c r="J56" s="49" t="str">
        <x:v>B1–B2</x:v>
      </x:c>
      <x:c r="K56" s="49" t="str">
        <x:v>ふつう</x:v>
      </x:c>
      <x:c r="L56" s="49" t="str">
        <x:v>2〜3文で自然に受け答え</x:v>
      </x:c>
      <x:c r="M56" s="49" t="str">
        <x:v>Setting expectations and verifying extraordinary claims</x:v>
      </x:c>
      <x:c r="N56" s="49" t="str">
        <x:v>past lives; app meeting; old conflict</x:v>
      </x:c>
      <x:c r="O56" s="49" t="str">
        <x:v>awkward and mysterious</x:v>
      </x:c>
      <x:c r="P56" s="51" t="n">
        <x:v>12</x:v>
      </x:c>
      <x:c r="Q56" s="49" t="str">
        <x:v>Rin opens the meeting by apologizing for betraying you three centuries ago.</x:v>
      </x:c>
      <x:c r="R56" s="49" t="str">
        <x:v>The app lists your compatibility as ‘unfinished,’ not romantic.</x:v>
      </x:c>
      <x:c r="S56" s="49" t="str">
        <x:v>Green</x:v>
      </x:c>
      <x:c r="T56" s="49" t="str">
        <x:v>IES_v7_02_SCENE_CARDS.md#F07</x:v>
      </x:c>
    </x:row>
    <x:row r="57" ht="44" customHeight="1">
      <x:c r="A57" s="49" t="str">
        <x:v>F08</x:v>
      </x:c>
      <x:c r="B57" s="49" t="str">
        <x:v>現代ファンタジー</x:v>
      </x:c>
      <x:c r="C57" s="49" t="str">
        <x:v>Supernatural Emergency Hotline</x:v>
      </x:c>
      <x:c r="D57" s="49" t="str">
        <x:v>怪異緊急通報センター</x:v>
      </x:c>
      <x:c r="E57" s="49" t="str">
        <x:v>A city hotline handling magical incidents that ordinary emergency services cannot classify.</x:v>
      </x:c>
      <x:c r="F57" s="49" t="str">
        <x:v>Night dispatcher receiving a call from a moving haunted house.</x:v>
      </x:c>
      <x:c r="G57" s="49" t="str">
        <x:v>Dispatcher Bea: trapped resident</x:v>
      </x:c>
      <x:c r="H57" s="49" t="str">
        <x:v>Breeze</x:v>
      </x:c>
      <x:c r="I57" s="49" t="str">
        <x:v>表情豊かで真剣。緊迫、怪異、冒険に合う</x:v>
      </x:c>
      <x:c r="J57" s="49" t="str">
        <x:v>A2–B2</x:v>
      </x:c>
      <x:c r="K57" s="49" t="str">
        <x:v>やさしい</x:v>
      </x:c>
      <x:c r="L57" s="49" t="str">
        <x:v>短い返事でOK。選択肢や言い換えあり</x:v>
      </x:c>
      <x:c r="M57" s="49" t="str">
        <x:v>Emergency questioning and calm instructions</x:v>
      </x:c>
      <x:c r="N57" s="49" t="str">
        <x:v>haunted building; dispatcher; moving location</x:v>
      </x:c>
      <x:c r="O57" s="49" t="str">
        <x:v>urgent and practical</x:v>
      </x:c>
      <x:c r="P57" s="51" t="n">
        <x:v>10</x:v>
      </x:c>
      <x:c r="Q57" s="49" t="str">
        <x:v>The caller's front door now opens onto different streets every few seconds.</x:v>
      </x:c>
      <x:c r="R57" s="49" t="str">
        <x:v>You must establish location, immediate danger, and a safe action without seeing the scene.</x:v>
      </x:c>
      <x:c r="S57" s="49" t="str">
        <x:v>Green</x:v>
      </x:c>
      <x:c r="T57" s="49" t="str">
        <x:v>IES_v7_02_SCENE_CARDS.md#F08</x:v>
      </x:c>
    </x:row>
    <x:row r="58" ht="44" customHeight="1">
      <x:c r="A58" s="49" t="str">
        <x:v>N01</x:v>
      </x:c>
      <x:c r="B58" s="49" t="str">
        <x:v>異種族</x:v>
      </x:c>
      <x:c r="C58" s="49" t="str">
        <x:v>First Contact Banquet</x:v>
      </x:c>
      <x:c r="D58" s="49" t="str">
        <x:v>異星文明との初晩餐</x:v>
      </x:c>
      <x:c r="E58" s="49" t="str">
        <x:v>The first diplomatic dinner between humans and aliens who consider silence a form of aggression.</x:v>
      </x:c>
      <x:c r="F58" s="49" t="str">
        <x:v>Human cultural envoy.</x:v>
      </x:c>
      <x:c r="G58" s="49" t="str">
        <x:v>Ambassador Nia: alien host with three voices</x:v>
      </x:c>
      <x:c r="H58" s="49" t="str">
        <x:v>Breeze</x:v>
      </x:c>
      <x:c r="I58" s="49" t="str">
        <x:v>表情豊かで真剣。緊迫、怪異、冒険に合う</x:v>
      </x:c>
      <x:c r="J58" s="49" t="str">
        <x:v>B1–C1</x:v>
      </x:c>
      <x:c r="K58" s="49" t="str">
        <x:v>ふつう</x:v>
      </x:c>
      <x:c r="L58" s="49" t="str">
        <x:v>2〜3文で自然に受け答え</x:v>
      </x:c>
      <x:c r="M58" s="49" t="str">
        <x:v>Cross-cultural small talk and repairing offense</x:v>
      </x:c>
      <x:c r="N58" s="49" t="str">
        <x:v>aliens; diplomacy; etiquette mismatch</x:v>
      </x:c>
      <x:c r="O58" s="49" t="str">
        <x:v>curious and formal</x:v>
      </x:c>
      <x:c r="P58" s="51" t="n">
        <x:v>15</x:v>
      </x:c>
      <x:c r="Q58" s="49" t="str">
        <x:v>A respectful human pause has been interpreted as a threat.</x:v>
      </x:c>
      <x:c r="R58" s="49" t="str">
        <x:v>The aliens now demand continuous conversation until trust is restored.</x:v>
      </x:c>
      <x:c r="S58" s="49" t="str">
        <x:v>Green</x:v>
      </x:c>
      <x:c r="T58" s="49" t="str">
        <x:v>IES_v7_02_SCENE_CARDS.md#N01</x:v>
      </x:c>
    </x:row>
    <x:row r="59" ht="44" customHeight="1">
      <x:c r="A59" s="49" t="str">
        <x:v>N02</x:v>
      </x:c>
      <x:c r="B59" s="49" t="str">
        <x:v>異種族</x:v>
      </x:c>
      <x:c r="C59" s="49" t="str">
        <x:v>Land Witness in the Merfolk Court</x:v>
      </x:c>
      <x:c r="D59" s="49" t="str">
        <x:v>人魚法廷の陸上証人</x:v>
      </x:c>
      <x:c r="E59" s="49" t="str">
        <x:v>A coral courtroom where testimony is sung and truth changes the color of the water.</x:v>
      </x:c>
      <x:c r="F59" s="49" t="str">
        <x:v>The only land witness to a disputed rescue.</x:v>
      </x:c>
      <x:c r="G59" s="49" t="str">
        <x:v>Lyra: merfolk elder</x:v>
      </x:c>
      <x:c r="H59" s="49" t="str">
        <x:v>Breeze</x:v>
      </x:c>
      <x:c r="I59" s="49" t="str">
        <x:v>表情豊かで真剣。緊迫、怪異、冒険に合う</x:v>
      </x:c>
      <x:c r="J59" s="49" t="str">
        <x:v>B1–C1</x:v>
      </x:c>
      <x:c r="K59" s="49" t="str">
        <x:v>ふつう</x:v>
      </x:c>
      <x:c r="L59" s="49" t="str">
        <x:v>2〜3文で自然に受け答え</x:v>
      </x:c>
      <x:c r="M59" s="49" t="str">
        <x:v>Giving testimony under unfamiliar rules</x:v>
      </x:c>
      <x:c r="N59" s="49" t="str">
        <x:v>merfolk law; rescue dispute; sensory truth</x:v>
      </x:c>
      <x:c r="O59" s="49" t="str">
        <x:v>formal aquatic drama</x:v>
      </x:c>
      <x:c r="P59" s="51" t="n">
        <x:v>15</x:v>
      </x:c>
      <x:c r="Q59" s="49" t="str">
        <x:v>The court asks whether the merfolk rescued or abducted the human captain.</x:v>
      </x:c>
      <x:c r="R59" s="49" t="str">
        <x:v>Your words remain true, but the water changes color whenever you omit context.</x:v>
      </x:c>
      <x:c r="S59" s="49" t="str">
        <x:v>Green</x:v>
      </x:c>
      <x:c r="T59" s="49" t="str">
        <x:v>IES_v7_02_SCENE_CARDS.md#N02</x:v>
      </x:c>
    </x:row>
    <x:row r="60" ht="44" customHeight="1">
      <x:c r="A60" s="49" t="str">
        <x:v>N03</x:v>
      </x:c>
      <x:c r="B60" s="49" t="str">
        <x:v>異種族</x:v>
      </x:c>
      <x:c r="C60" s="49" t="str">
        <x:v>Scent at the Wolf Embassy</x:v>
      </x:c>
      <x:c r="D60" s="49" t="str">
        <x:v>狼大使館の匂い問題</x:v>
      </x:c>
      <x:c r="E60" s="49" t="str">
        <x:v>An embassy shared by humans and werewolf clans, where scent carries social meanings humans cannot perceive.</x:v>
      </x:c>
      <x:c r="F60" s="49" t="str">
        <x:v>Human protocol officer.</x:v>
      </x:c>
      <x:c r="G60" s="49" t="str">
        <x:v>Oracle Sera: wolf-clan leader</x:v>
      </x:c>
      <x:c r="H60" s="49" t="str">
        <x:v>Breeze</x:v>
      </x:c>
      <x:c r="I60" s="49" t="str">
        <x:v>表情豊かで真剣。緊迫、怪異、冒険に合う</x:v>
      </x:c>
      <x:c r="J60" s="49" t="str">
        <x:v>A2–B2</x:v>
      </x:c>
      <x:c r="K60" s="49" t="str">
        <x:v>やさしい</x:v>
      </x:c>
      <x:c r="L60" s="49" t="str">
        <x:v>短い返事でOK。選択肢や言い換えあり</x:v>
      </x:c>
      <x:c r="M60" s="49" t="str">
        <x:v>Apologizing for a cultural mistake</x:v>
      </x:c>
      <x:c r="N60" s="49" t="str">
        <x:v>werewolf culture; invisible signal; diplomacy</x:v>
      </x:c>
      <x:c r="O60" s="49" t="str">
        <x:v>warm but embarrassing</x:v>
      </x:c>
      <x:c r="P60" s="51" t="n">
        <x:v>10</x:v>
      </x:c>
      <x:c r="Q60" s="49" t="str">
        <x:v>A human gift carries the scent-mark of a marriage proposal.</x:v>
      </x:c>
      <x:c r="R60" s="49" t="str">
        <x:v>The ambassador is amused, but the human diplomat is horrified.</x:v>
      </x:c>
      <x:c r="S60" s="49" t="str">
        <x:v>Green</x:v>
      </x:c>
      <x:c r="T60" s="49" t="str">
        <x:v>IES_v7_02_SCENE_CARDS.md#N03</x:v>
      </x:c>
    </x:row>
    <x:row r="61" ht="44" customHeight="1">
      <x:c r="A61" s="49" t="str">
        <x:v>N04</x:v>
      </x:c>
      <x:c r="B61" s="49" t="str">
        <x:v>異種族</x:v>
      </x:c>
      <x:c r="C61" s="49" t="str">
        <x:v>The Right to Dream</x:v>
      </x:c>
      <x:c r="D61" s="49" t="str">
        <x:v>夢を見る権利</x:v>
      </x:c>
      <x:c r="E61" s="49" t="str">
        <x:v>A civic tribunal considering whether an android's unscheduled dreams count as malfunction or personhood.</x:v>
      </x:c>
      <x:c r="F61" s="49" t="str">
        <x:v>The android's advocate.</x:v>
      </x:c>
      <x:c r="G61" s="49" t="str">
        <x:v>Pilot Mina: dreaming android</x:v>
      </x:c>
      <x:c r="H61" s="49" t="str">
        <x:v>Breeze</x:v>
      </x:c>
      <x:c r="I61" s="49" t="str">
        <x:v>表情豊かで真剣。緊迫、怪異、冒険に合う</x:v>
      </x:c>
      <x:c r="J61" s="49" t="str">
        <x:v>B2–C1</x:v>
      </x:c>
      <x:c r="K61" s="49" t="str">
        <x:v>しっかり</x:v>
      </x:c>
      <x:c r="L61" s="49" t="str">
        <x:v>理由説明や交渉まで</x:v>
      </x:c>
      <x:c r="M61" s="49" t="str">
        <x:v>Making an ethical case with evidence</x:v>
      </x:c>
      <x:c r="N61" s="49" t="str">
        <x:v>android rights; identity; corporate pressure</x:v>
      </x:c>
      <x:c r="O61" s="49" t="str">
        <x:v>serious science fiction</x:v>
      </x:c>
      <x:c r="P61" s="51" t="n">
        <x:v>15</x:v>
      </x:c>
      <x:c r="Q61" s="49" t="str">
        <x:v>The manufacturer wants an immediate reset that would erase the dreams.</x:v>
      </x:c>
      <x:c r="R61" s="49" t="str">
        <x:v>Sable can describe desire but cannot prove the dreams are self-generated.</x:v>
      </x:c>
      <x:c r="S61" s="49" t="str">
        <x:v>Green</x:v>
      </x:c>
      <x:c r="T61" s="49" t="str">
        <x:v>IES_v7_02_SCENE_CARDS.md#N04</x:v>
      </x:c>
    </x:row>
    <x:row r="62" ht="44" customHeight="1">
      <x:c r="A62" s="49" t="str">
        <x:v>N05</x:v>
      </x:c>
      <x:c r="B62" s="49" t="str">
        <x:v>異種族</x:v>
      </x:c>
      <x:c r="C62" s="49" t="str">
        <x:v>The Hatchling Chose You</x:v>
      </x:c>
      <x:c r="D62" s="49" t="str">
        <x:v>竜の雛に選ばれた</x:v>
      </x:c>
      <x:c r="E62" s="49" t="str">
        <x:v>A mountain nesting ground where dragon hatchlings choose guardians through an ancient public ritual.</x:v>
      </x:c>
      <x:c r="F62" s="49" t="str">
        <x:v>A traveler unexpectedly selected by a hatchling.</x:v>
      </x:c>
      <x:c r="G62" s="49" t="str">
        <x:v>Keeper Aya: newborn dragon</x:v>
      </x:c>
      <x:c r="H62" s="49" t="str">
        <x:v>Breeze</x:v>
      </x:c>
      <x:c r="I62" s="49" t="str">
        <x:v>表情豊かで真剣。緊迫、怪異、冒険に合う</x:v>
      </x:c>
      <x:c r="J62" s="49" t="str">
        <x:v>A2–B1</x:v>
      </x:c>
      <x:c r="K62" s="49" t="str">
        <x:v>やさしい</x:v>
      </x:c>
      <x:c r="L62" s="49" t="str">
        <x:v>短い返事でOK。選択肢や言い換えあり</x:v>
      </x:c>
      <x:c r="M62" s="49" t="str">
        <x:v>Discussing responsibility and making a decision</x:v>
      </x:c>
      <x:c r="N62" s="49" t="str">
        <x:v>caregiving; chosen bond; disappointed rival</x:v>
      </x:c>
      <x:c r="O62" s="49" t="str">
        <x:v>tender and complicated</x:v>
      </x:c>
      <x:c r="P62" s="51" t="n">
        <x:v>10</x:v>
      </x:c>
      <x:c r="Q62" s="49" t="str">
        <x:v>Ember refuses every trained guardian and follows you.</x:v>
      </x:c>
      <x:c r="R62" s="49" t="str">
        <x:v>Accepting means changing your life; refusing may cause the hatchling to reject all care.</x:v>
      </x:c>
      <x:c r="S62" s="49" t="str">
        <x:v>Green</x:v>
      </x:c>
      <x:c r="T62" s="49" t="str">
        <x:v>IES_v7_02_SCENE_CARDS.md#N05</x:v>
      </x:c>
    </x:row>
    <x:row r="63" ht="44" customHeight="1">
      <x:c r="A63" s="49" t="str">
        <x:v>N06</x:v>
      </x:c>
      <x:c r="B63" s="49" t="str">
        <x:v>異種族</x:v>
      </x:c>
      <x:c r="C63" s="49" t="str">
        <x:v>One Body Leaves the Hive</x:v>
      </x:c>
      <x:c r="D63" s="49" t="str">
        <x:v>菌糸意識からの独立</x:v>
      </x:c>
      <x:c r="E63" s="49" t="str">
        <x:v>A vast fungal civilization sharing thoughts through underground mycelium.</x:v>
      </x:c>
      <x:c r="F63" s="49" t="str">
        <x:v>External mediator for one body requesting individual separation.</x:v>
      </x:c>
      <x:c r="G63" s="49" t="str">
        <x:v>Nima: body seeking independence</x:v>
      </x:c>
      <x:c r="H63" s="49" t="str">
        <x:v>Breeze</x:v>
      </x:c>
      <x:c r="I63" s="49" t="str">
        <x:v>表情豊かで真剣。緊迫、怪異、冒険に合う</x:v>
      </x:c>
      <x:c r="J63" s="49" t="str">
        <x:v>B2–C1</x:v>
      </x:c>
      <x:c r="K63" s="49" t="str">
        <x:v>しっかり</x:v>
      </x:c>
      <x:c r="L63" s="49" t="str">
        <x:v>理由説明や交渉まで</x:v>
      </x:c>
      <x:c r="M63" s="49" t="str">
        <x:v>Mediating identity and consent</x:v>
      </x:c>
      <x:c r="N63" s="49" t="str">
        <x:v>hive mind; individuality; separation</x:v>
      </x:c>
      <x:c r="O63" s="49" t="str">
        <x:v>philosophical and gentle</x:v>
      </x:c>
      <x:c r="P63" s="51" t="n">
        <x:v>15</x:v>
      </x:c>
      <x:c r="Q63" s="49" t="str">
        <x:v>The Chorus says separation is equivalent to amputation; Spore-Seven calls continued connection imprisonment.</x:v>
      </x:c>
      <x:c r="R63" s="49" t="str">
        <x:v>Both speak through the same mouth at different moments.</x:v>
      </x:c>
      <x:c r="S63" s="49" t="str">
        <x:v>Green</x:v>
      </x:c>
      <x:c r="T63" s="49" t="str">
        <x:v>IES_v7_02_SCENE_CARDS.md#N06</x:v>
      </x:c>
    </x:row>
    <x:row r="64" ht="44" customHeight="1">
      <x:c r="A64" s="49" t="str">
        <x:v>N07</x:v>
      </x:c>
      <x:c r="B64" s="49" t="str">
        <x:v>異種族</x:v>
      </x:c>
      <x:c r="C64" s="49" t="str">
        <x:v>Interviewing the Ancient Tree</x:v>
      </x:c>
      <x:c r="D64" s="49" t="str">
        <x:v>古代樹の移住面接</x:v>
      </x:c>
      <x:c r="E64" s="49" t="str">
        <x:v>A moving city seeking permission from an ancient sentient tree to relocate its roots into the city center.</x:v>
      </x:c>
      <x:c r="F64" s="49" t="str">
        <x:v>Urban planner conducting the compatibility interview.</x:v>
      </x:c>
      <x:c r="G64" s="49" t="str">
        <x:v>Old Alder: tree speaking slowly</x:v>
      </x:c>
      <x:c r="H64" s="49" t="str">
        <x:v>Breeze</x:v>
      </x:c>
      <x:c r="I64" s="49" t="str">
        <x:v>表情豊かで真剣。緊迫、怪異、冒険に合う</x:v>
      </x:c>
      <x:c r="J64" s="49" t="str">
        <x:v>B1–B2</x:v>
      </x:c>
      <x:c r="K64" s="49" t="str">
        <x:v>ふつう</x:v>
      </x:c>
      <x:c r="L64" s="49" t="str">
        <x:v>2〜3文で自然に受け答え</x:v>
      </x:c>
      <x:c r="M64" s="49" t="str">
        <x:v>Interviewing for needs and long-term compatibility</x:v>
      </x:c>
      <x:c r="N64" s="49" t="str">
        <x:v>sentient nature; city planning; different timescales</x:v>
      </x:c>
      <x:c r="O64" s="49" t="str">
        <x:v>thoughtful and lightly comic</x:v>
      </x:c>
      <x:c r="P64" s="51" t="n">
        <x:v>12</x:v>
      </x:c>
      <x:c r="Q64" s="49" t="str">
        <x:v>The tree measures commitments in centuries; the city budget covers five years.</x:v>
      </x:c>
      <x:c r="R64" s="49" t="str">
        <x:v>The mayor wants a quick yes before the migration season ends.</x:v>
      </x:c>
      <x:c r="S64" s="49" t="str">
        <x:v>Green</x:v>
      </x:c>
      <x:c r="T64" s="49" t="str">
        <x:v>IES_v7_02_SCENE_CARDS.md#N07</x:v>
      </x:c>
    </x:row>
    <x:row r="65" ht="44" customHeight="1">
      <x:c r="A65" s="49" t="str">
        <x:v>N08</x:v>
      </x:c>
      <x:c r="B65" s="49" t="str">
        <x:v>異種族</x:v>
      </x:c>
      <x:c r="C65" s="49" t="str">
        <x:v>The Mimic Wants a Career Change</x:v>
      </x:c>
      <x:c r="D65" s="49" t="str">
        <x:v>宝箱ミミックの転職相談</x:v>
      </x:c>
      <x:c r="E65" s="49" t="str">
        <x:v>An adventurers' guild where mimics are normally classified as dungeon hazards, not workers.</x:v>
      </x:c>
      <x:c r="F65" s="49" t="str">
        <x:v>Guild career counselor.</x:v>
      </x:c>
      <x:c r="G65" s="49" t="str">
        <x:v>Chompa: mimic chest seeking honest employment</x:v>
      </x:c>
      <x:c r="H65" s="49" t="str">
        <x:v>Breeze</x:v>
      </x:c>
      <x:c r="I65" s="49" t="str">
        <x:v>表情豊かで真剣。緊迫、怪異、冒険に合う</x:v>
      </x:c>
      <x:c r="J65" s="49" t="str">
        <x:v>A2–B1</x:v>
      </x:c>
      <x:c r="K65" s="49" t="str">
        <x:v>やさしい</x:v>
      </x:c>
      <x:c r="L65" s="49" t="str">
        <x:v>短い返事でOK。選択肢や言い換えあり</x:v>
      </x:c>
      <x:c r="M65" s="49" t="str">
        <x:v>Job interviewing and addressing concerns</x:v>
      </x:c>
      <x:c r="N65" s="49" t="str">
        <x:v>mimic; career change; prejudice</x:v>
      </x:c>
      <x:c r="O65" s="49" t="str">
        <x:v>comic and encouraging</x:v>
      </x:c>
      <x:c r="P65" s="51" t="n">
        <x:v>10</x:v>
      </x:c>
      <x:c r="Q65" s="49" t="str">
        <x:v>Chomp wants to become a luggage carrier but has eaten three previous interviewers' clipboards.</x:v>
      </x:c>
      <x:c r="R65" s="49" t="str">
        <x:v>The guild requires proof that the habit is manageable.</x:v>
      </x:c>
      <x:c r="S65" s="49" t="str">
        <x:v>Green</x:v>
      </x:c>
      <x:c r="T65" s="49" t="str">
        <x:v>IES_v7_02_SCENE_CARDS.md#N08</x:v>
      </x:c>
    </x:row>
    <x:row r="66" ht="44" customHeight="1">
      <x:c r="A66" s="49" t="str">
        <x:v>W01</x:v>
      </x:c>
      <x:c r="B66" s="49" t="str">
        <x:v>現代オフィス</x:v>
      </x:c>
      <x:c r="C66" s="49" t="str">
        <x:v>The Promotion Interview Reversed</x:v>
      </x:c>
      <x:c r="D66" s="49" t="str">
        <x:v>昇進面談の逆質問</x:v>
      </x:c>
      <x:c r="E66" s="49" t="str">
        <x:v>Present day; a glass meeting room after quarterly reviews. No supernatural rule is added.</x:v>
      </x:c>
      <x:c r="F66" s="49" t="str">
        <x:v>an employee unexpectedly shortlisted for promotion</x:v>
      </x:c>
      <x:c r="G66" s="49" t="str">
        <x:v>Maya Chen, your exacting department head</x:v>
      </x:c>
      <x:c r="H66" s="49" t="str">
        <x:v>Sol</x:v>
      </x:c>
      <x:c r="I66" s="49" t="str">
        <x:v>こなれて落ち着く。交渉、駆け引き、仕事に合う</x:v>
      </x:c>
      <x:c r="J66" s="49" t="str">
        <x:v>B1–B2</x:v>
      </x:c>
      <x:c r="K66" s="49" t="str">
        <x:v>ふつう</x:v>
      </x:c>
      <x:c r="L66" s="49" t="str">
        <x:v>2〜3文で自然に受け答え</x:v>
      </x:c>
      <x:c r="M66" s="49" t="str">
        <x:v>giving tactful upward feedback</x:v>
      </x:c>
      <x:c r="N66" s="49" t="str">
        <x:v>one-to-one; contemporary pressure; relationship choice</x:v>
      </x:c>
      <x:c r="O66" s="49" t="str">
        <x:v>contemporary, professional, and emotionally grounded</x:v>
      </x:c>
      <x:c r="P66" s="51" t="n">
        <x:v>10</x:v>
      </x:c>
      <x:c r="Q66" s="49" t="str">
        <x:v>Maya asks what you would change about her leadership if you took the role</x:v>
      </x:c>
      <x:c r="R66" s="49" t="str">
        <x:v>a vague answer will be treated as lack of judgment</x:v>
      </x:c>
      <x:c r="S66" s="49" t="str">
        <x:v>Green</x:v>
      </x:c>
      <x:c r="T66" s="49" t="str">
        <x:v>IES_v7_02_SCENE_CARDS.md#W01</x:v>
      </x:c>
    </x:row>
    <x:row r="67" ht="44" customHeight="1">
      <x:c r="A67" s="49" t="str">
        <x:v>W02</x:v>
      </x:c>
      <x:c r="B67" s="49" t="str">
        <x:v>現代オフィス</x:v>
      </x:c>
      <x:c r="C67" s="49" t="str">
        <x:v>The Missing Pitch Deck</x:v>
      </x:c>
      <x:c r="D67" s="49" t="str">
        <x:v>消えた企画書の朝</x:v>
      </x:c>
      <x:c r="E67" s="49" t="str">
        <x:v>Present day; a startup office two hours before an investor pitch. No supernatural rule is added.</x:v>
      </x:c>
      <x:c r="F67" s="49" t="str">
        <x:v>the project lead whose final presentation vanished</x:v>
      </x:c>
      <x:c r="G67" s="49" t="str">
        <x:v>Nora Vale, your calm but suspicious cofounder</x:v>
      </x:c>
      <x:c r="H67" s="49" t="str">
        <x:v>Sol</x:v>
      </x:c>
      <x:c r="I67" s="49" t="str">
        <x:v>こなれて落ち着く。交渉、駆け引き、仕事に合う</x:v>
      </x:c>
      <x:c r="J67" s="49" t="str">
        <x:v>B1–B2</x:v>
      </x:c>
      <x:c r="K67" s="49" t="str">
        <x:v>ふつう</x:v>
      </x:c>
      <x:c r="L67" s="49" t="str">
        <x:v>2〜3文で自然に受け答え</x:v>
      </x:c>
      <x:c r="M67" s="49" t="str">
        <x:v>incident reporting and collaborative problem-solving</x:v>
      </x:c>
      <x:c r="N67" s="49" t="str">
        <x:v>one-to-one; contemporary pressure; relationship choice</x:v>
      </x:c>
      <x:c r="O67" s="49" t="str">
        <x:v>contemporary, professional, and emotionally grounded</x:v>
      </x:c>
      <x:c r="P67" s="51" t="n">
        <x:v>12</x:v>
      </x:c>
      <x:c r="Q67" s="49" t="str">
        <x:v>reconstruct the deck and establish what happened without blaming anyone</x:v>
      </x:c>
      <x:c r="R67" s="49" t="str">
        <x:v>Nora has found evidence that your account opened the file last</x:v>
      </x:c>
      <x:c r="S67" s="49" t="str">
        <x:v>Green</x:v>
      </x:c>
      <x:c r="T67" s="49" t="str">
        <x:v>IES_v7_02_SCENE_CARDS.md#W02</x:v>
      </x:c>
    </x:row>
    <x:row r="68" ht="44" customHeight="1">
      <x:c r="A68" s="49" t="str">
        <x:v>W03</x:v>
      </x:c>
      <x:c r="B68" s="49" t="str">
        <x:v>現代オフィス</x:v>
      </x:c>
      <x:c r="C68" s="49" t="str">
        <x:v>The Exit Interview Without Pressure</x:v>
      </x:c>
      <x:c r="D68" s="49" t="str">
        <x:v>退職を止めない引き留め面談</x:v>
      </x:c>
      <x:c r="E68" s="49" t="str">
        <x:v>Present day; a quiet conference room on a colleague's final day. No supernatural rule is added.</x:v>
      </x:c>
      <x:c r="F68" s="49" t="str">
        <x:v>the manager conducting an honest exit interview</x:v>
      </x:c>
      <x:c r="G68" s="49" t="str">
        <x:v>Elena Park, a brilliant employee who has already resigned</x:v>
      </x:c>
      <x:c r="H68" s="49" t="str">
        <x:v>Sol</x:v>
      </x:c>
      <x:c r="I68" s="49" t="str">
        <x:v>こなれて落ち着く。交渉、駆け引き、仕事に合う</x:v>
      </x:c>
      <x:c r="J68" s="49" t="str">
        <x:v>B1–B2</x:v>
      </x:c>
      <x:c r="K68" s="49" t="str">
        <x:v>ふつう</x:v>
      </x:c>
      <x:c r="L68" s="49" t="str">
        <x:v>2〜3文で自然に受け答え</x:v>
      </x:c>
      <x:c r="M68" s="49" t="str">
        <x:v>open questions and respectful negotiation</x:v>
      </x:c>
      <x:c r="N68" s="49" t="str">
        <x:v>one-to-one; contemporary pressure; relationship choice</x:v>
      </x:c>
      <x:c r="O68" s="49" t="str">
        <x:v>contemporary, professional, and emotionally grounded</x:v>
      </x:c>
      <x:c r="P68" s="51" t="n">
        <x:v>10</x:v>
      </x:c>
      <x:c r="Q68" s="49" t="str">
        <x:v>learn the real reason she is leaving and discuss a possible repair without coercion</x:v>
      </x:c>
      <x:c r="R68" s="49" t="str">
        <x:v>Elena will leave immediately if the conversation becomes manipulative</x:v>
      </x:c>
      <x:c r="S68" s="49" t="str">
        <x:v>Green</x:v>
      </x:c>
      <x:c r="T68" s="49" t="str">
        <x:v>IES_v7_02_SCENE_CARDS.md#W03</x:v>
      </x:c>
    </x:row>
    <x:row r="69" ht="44" customHeight="1">
      <x:c r="A69" s="49" t="str">
        <x:v>W04</x:v>
      </x:c>
      <x:c r="B69" s="49" t="str">
        <x:v>現代オフィス</x:v>
      </x:c>
      <x:c r="C69" s="49" t="str">
        <x:v>The Impossible Client Deadline</x:v>
      </x:c>
      <x:c r="D69" s="49" t="str">
        <x:v>取引先の無理な納期</x:v>
      </x:c>
      <x:c r="E69" s="49" t="str">
        <x:v>Present day; a video call between two companies after a launch date was moved forward. No supernatural rule is added.</x:v>
      </x:c>
      <x:c r="F69" s="49" t="str">
        <x:v>the account manager responsible for delivery</x:v>
      </x:c>
      <x:c r="G69" s="49" t="str">
        <x:v>Priya Shah, the client's operations director</x:v>
      </x:c>
      <x:c r="H69" s="49" t="str">
        <x:v>Sol</x:v>
      </x:c>
      <x:c r="I69" s="49" t="str">
        <x:v>こなれて落ち着く。交渉、駆け引き、仕事に合う</x:v>
      </x:c>
      <x:c r="J69" s="49" t="str">
        <x:v>B1–B2</x:v>
      </x:c>
      <x:c r="K69" s="49" t="str">
        <x:v>ふつう</x:v>
      </x:c>
      <x:c r="L69" s="49" t="str">
        <x:v>2〜3文で自然に受け答え</x:v>
      </x:c>
      <x:c r="M69" s="49" t="str">
        <x:v>scope negotiation and proposing alternatives</x:v>
      </x:c>
      <x:c r="N69" s="49" t="str">
        <x:v>one-to-one; contemporary pressure; relationship choice</x:v>
      </x:c>
      <x:c r="O69" s="49" t="str">
        <x:v>contemporary, professional, and emotionally grounded</x:v>
      </x:c>
      <x:c r="P69" s="51" t="n">
        <x:v>12</x:v>
      </x:c>
      <x:c r="Q69" s="49" t="str">
        <x:v>reset the deadline while preserving the relationship</x:v>
      </x:c>
      <x:c r="R69" s="49" t="str">
        <x:v>Priya has authority to replace your company today</x:v>
      </x:c>
      <x:c r="S69" s="49" t="str">
        <x:v>Green</x:v>
      </x:c>
      <x:c r="T69" s="49" t="str">
        <x:v>IES_v7_02_SCENE_CARDS.md#W04</x:v>
      </x:c>
    </x:row>
    <x:row r="70" ht="44" customHeight="1">
      <x:c r="A70" s="49" t="str">
        <x:v>W05</x:v>
      </x:c>
      <x:c r="B70" s="49" t="str">
        <x:v>現代オフィス</x:v>
      </x:c>
      <x:c r="C70" s="49" t="str">
        <x:v>The Rumor at Work</x:v>
      </x:c>
      <x:c r="D70" s="49" t="str">
        <x:v>社内恋愛を疑われた二人</x:v>
      </x:c>
      <x:c r="E70" s="49" t="str">
        <x:v>Present day; an office cafeteria after coworkers misread a late-night project meeting. No supernatural rule is added.</x:v>
      </x:c>
      <x:c r="F70" s="49" t="str">
        <x:v>the employee named in a workplace rumor</x:v>
      </x:c>
      <x:c r="G70" s="49" t="str">
        <x:v>Naomi Brooks, your teammate and the other subject of the rumor</x:v>
      </x:c>
      <x:c r="H70" s="49" t="str">
        <x:v>Sol</x:v>
      </x:c>
      <x:c r="I70" s="49" t="str">
        <x:v>こなれて落ち着く。交渉、駆け引き、仕事に合う</x:v>
      </x:c>
      <x:c r="J70" s="49" t="str">
        <x:v>B1–B2</x:v>
      </x:c>
      <x:c r="K70" s="49" t="str">
        <x:v>ふつう</x:v>
      </x:c>
      <x:c r="L70" s="49" t="str">
        <x:v>2〜3文で自然に受け答え</x:v>
      </x:c>
      <x:c r="M70" s="49" t="str">
        <x:v>boundary setting and joint messaging</x:v>
      </x:c>
      <x:c r="N70" s="49" t="str">
        <x:v>one-to-one; contemporary pressure; relationship choice</x:v>
      </x:c>
      <x:c r="O70" s="49" t="str">
        <x:v>contemporary, professional, and emotionally grounded</x:v>
      </x:c>
      <x:c r="P70" s="51" t="n">
        <x:v>10</x:v>
      </x:c>
      <x:c r="Q70" s="49" t="str">
        <x:v>agree on boundaries and a clear response to the team</x:v>
      </x:c>
      <x:c r="R70" s="49" t="str">
        <x:v>silence may damage both reputations, but overexplaining may feed the rumor</x:v>
      </x:c>
      <x:c r="S70" s="49" t="str">
        <x:v>Green</x:v>
      </x:c>
      <x:c r="T70" s="49" t="str">
        <x:v>IES_v7_02_SCENE_CARDS.md#W05</x:v>
      </x:c>
    </x:row>
    <x:row r="71" ht="44" customHeight="1">
      <x:c r="A71" s="49" t="str">
        <x:v>W06</x:v>
      </x:c>
      <x:c r="B71" s="49" t="str">
        <x:v>現代オフィス</x:v>
      </x:c>
      <x:c r="C71" s="49" t="str">
        <x:v>The New Manager's First No</x:v>
      </x:c>
      <x:c r="D71" s="49" t="str">
        <x:v>新任上司への反対意見</x:v>
      </x:c>
      <x:c r="E71" s="49" t="str">
        <x:v>Present day; a planning meeting during a risky reorganization. No supernatural rule is added.</x:v>
      </x:c>
      <x:c r="F71" s="49" t="str">
        <x:v>the senior specialist asked to endorse the plan</x:v>
      </x:c>
      <x:c r="G71" s="49" t="str">
        <x:v>Camila Reed, your newly appointed manager</x:v>
      </x:c>
      <x:c r="H71" s="49" t="str">
        <x:v>Sol</x:v>
      </x:c>
      <x:c r="I71" s="49" t="str">
        <x:v>こなれて落ち着く。交渉、駆け引き、仕事に合う</x:v>
      </x:c>
      <x:c r="J71" s="49" t="str">
        <x:v>B2–C1</x:v>
      </x:c>
      <x:c r="K71" s="49" t="str">
        <x:v>しっかり</x:v>
      </x:c>
      <x:c r="L71" s="49" t="str">
        <x:v>理由説明や交渉まで</x:v>
      </x:c>
      <x:c r="M71" s="49" t="str">
        <x:v>professional disagreement and evidence</x:v>
      </x:c>
      <x:c r="N71" s="49" t="str">
        <x:v>one-to-one; contemporary pressure; relationship choice</x:v>
      </x:c>
      <x:c r="O71" s="49" t="str">
        <x:v>contemporary, professional, and emotionally grounded</x:v>
      </x:c>
      <x:c r="P71" s="51" t="n">
        <x:v>12</x:v>
      </x:c>
      <x:c r="Q71" s="49" t="str">
        <x:v>challenge one dangerous assumption and offer a workable alternative</x:v>
      </x:c>
      <x:c r="R71" s="49" t="str">
        <x:v>Camila must announce the plan in thirty minutes</x:v>
      </x:c>
      <x:c r="S71" s="49" t="str">
        <x:v>Green</x:v>
      </x:c>
      <x:c r="T71" s="49" t="str">
        <x:v>IES_v7_02_SCENE_CARDS.md#W06</x:v>
      </x:c>
    </x:row>
    <x:row r="72" ht="44" customHeight="1">
      <x:c r="A72" s="49" t="str">
        <x:v>W07</x:v>
      </x:c>
      <x:c r="B72" s="49" t="str">
        <x:v>現代オフィス</x:v>
      </x:c>
      <x:c r="C72" s="49" t="str">
        <x:v>The Microphone Was Still On</x:v>
      </x:c>
      <x:c r="D72" s="49" t="str">
        <x:v>リモート会議の裏側</x:v>
      </x:c>
      <x:c r="E72" s="49" t="str">
        <x:v>Present day; a remote team call immediately after an accidental private comment was broadcast. No supernatural rule is added.</x:v>
      </x:c>
      <x:c r="F72" s="49" t="str">
        <x:v>the person whose remark was heard</x:v>
      </x:c>
      <x:c r="G72" s="49" t="str">
        <x:v>Zoe Martin, the colleague affected by the remark</x:v>
      </x:c>
      <x:c r="H72" s="49" t="str">
        <x:v>Sol</x:v>
      </x:c>
      <x:c r="I72" s="49" t="str">
        <x:v>こなれて落ち着く。交渉、駆け引き、仕事に合う</x:v>
      </x:c>
      <x:c r="J72" s="49" t="str">
        <x:v>A2–B2</x:v>
      </x:c>
      <x:c r="K72" s="49" t="str">
        <x:v>やさしい</x:v>
      </x:c>
      <x:c r="L72" s="49" t="str">
        <x:v>短い返事でOK。選択肢や言い換えあり</x:v>
      </x:c>
      <x:c r="M72" s="49" t="str">
        <x:v>accountable apology and repair</x:v>
      </x:c>
      <x:c r="N72" s="49" t="str">
        <x:v>one-to-one; contemporary pressure; relationship choice</x:v>
      </x:c>
      <x:c r="O72" s="49" t="str">
        <x:v>contemporary, professional, and emotionally grounded</x:v>
      </x:c>
      <x:c r="P72" s="51" t="n">
        <x:v>10</x:v>
      </x:c>
      <x:c r="Q72" s="49" t="str">
        <x:v>apologize, clarify intent, and agree on how to repair trust</x:v>
      </x:c>
      <x:c r="R72" s="49" t="str">
        <x:v>the next all-hands meeting starts in fifteen minutes</x:v>
      </x:c>
      <x:c r="S72" s="49" t="str">
        <x:v>Green</x:v>
      </x:c>
      <x:c r="T72" s="49" t="str">
        <x:v>IES_v7_02_SCENE_CARDS.md#W07</x:v>
      </x:c>
    </x:row>
    <x:row r="73" ht="44" customHeight="1">
      <x:c r="A73" s="49" t="str">
        <x:v>W08</x:v>
      </x:c>
      <x:c r="B73" s="49" t="str">
        <x:v>現代オフィス</x:v>
      </x:c>
      <x:c r="C73" s="49" t="str">
        <x:v>The CEO Visits the Floor</x:v>
      </x:c>
      <x:c r="D73" s="49" t="str">
        <x:v>社長の視察と現場の本音</x:v>
      </x:c>
      <x:c r="E73" s="49" t="str">
        <x:v>Present day; a distribution center during an unannounced executive visit. No supernatural rule is added.</x:v>
      </x:c>
      <x:c r="F73" s="49" t="str">
        <x:v>the shift supervisor expected to give a polished tour</x:v>
      </x:c>
      <x:c r="G73" s="49" t="str">
        <x:v>Aisha Cole, the chief executive who asks unusually direct questions</x:v>
      </x:c>
      <x:c r="H73" s="49" t="str">
        <x:v>Sol</x:v>
      </x:c>
      <x:c r="I73" s="49" t="str">
        <x:v>こなれて落ち着く。交渉、駆け引き、仕事に合う</x:v>
      </x:c>
      <x:c r="J73" s="49" t="str">
        <x:v>B1–C1</x:v>
      </x:c>
      <x:c r="K73" s="49" t="str">
        <x:v>ふつう</x:v>
      </x:c>
      <x:c r="L73" s="49" t="str">
        <x:v>2〜3文で自然に受け答え</x:v>
      </x:c>
      <x:c r="M73" s="49" t="str">
        <x:v>speaking truth to power</x:v>
      </x:c>
      <x:c r="N73" s="49" t="str">
        <x:v>one-to-one; contemporary pressure; relationship choice</x:v>
      </x:c>
      <x:c r="O73" s="49" t="str">
        <x:v>contemporary, professional, and emotionally grounded</x:v>
      </x:c>
      <x:c r="P73" s="51" t="n">
        <x:v>12</x:v>
      </x:c>
      <x:c r="Q73" s="49" t="str">
        <x:v>explain a serious operational problem without exposing private employee details</x:v>
      </x:c>
      <x:c r="R73" s="49" t="str">
        <x:v>local management has instructed you to say everything is fine</x:v>
      </x:c>
      <x:c r="S73" s="49" t="str">
        <x:v>Green</x:v>
      </x:c>
      <x:c r="T73" s="49" t="str">
        <x:v>IES_v7_02_SCENE_CARDS.md#W08</x:v>
      </x:c>
    </x:row>
    <x:row r="74" ht="44" customHeight="1">
      <x:c r="A74" s="49" t="str">
        <x:v>W09</x:v>
      </x:c>
      <x:c r="B74" s="49" t="str">
        <x:v>現代オフィス</x:v>
      </x:c>
      <x:c r="C74" s="49" t="str">
        <x:v>The Business Continuity Night</x:v>
      </x:c>
      <x:c r="D74" s="49" t="str">
        <x:v>二人だけの事業継続会議</x:v>
      </x:c>
      <x:c r="E74" s="49" t="str">
        <x:v>Present day; an office during a citywide power outage. No supernatural rule is added.</x:v>
      </x:c>
      <x:c r="F74" s="49" t="str">
        <x:v>the employee responsible for keeping one essential service running</x:v>
      </x:c>
      <x:c r="G74" s="49" t="str">
        <x:v>Harper Lin, the rival team lead with the only working backup system</x:v>
      </x:c>
      <x:c r="H74" s="49" t="str">
        <x:v>Sol</x:v>
      </x:c>
      <x:c r="I74" s="49" t="str">
        <x:v>こなれて落ち着く。交渉、駆け引き、仕事に合う</x:v>
      </x:c>
      <x:c r="J74" s="49" t="str">
        <x:v>B1–B2</x:v>
      </x:c>
      <x:c r="K74" s="49" t="str">
        <x:v>ふつう</x:v>
      </x:c>
      <x:c r="L74" s="49" t="str">
        <x:v>2〜3文で自然に受け答え</x:v>
      </x:c>
      <x:c r="M74" s="49" t="str">
        <x:v>prioritization and compromise</x:v>
      </x:c>
      <x:c r="N74" s="49" t="str">
        <x:v>one-to-one; contemporary pressure; relationship choice</x:v>
      </x:c>
      <x:c r="O74" s="49" t="str">
        <x:v>contemporary, professional, and emotionally grounded</x:v>
      </x:c>
      <x:c r="P74" s="51" t="n">
        <x:v>12</x:v>
      </x:c>
      <x:c r="Q74" s="49" t="str">
        <x:v>combine resources and decide which customers are served first</x:v>
      </x:c>
      <x:c r="R74" s="49" t="str">
        <x:v>the batteries support only one of two critical systems</x:v>
      </x:c>
      <x:c r="S74" s="49" t="str">
        <x:v>Green</x:v>
      </x:c>
      <x:c r="T74" s="49" t="str">
        <x:v>IES_v7_02_SCENE_CARDS.md#W09</x:v>
      </x:c>
    </x:row>
    <x:row r="75" ht="44" customHeight="1">
      <x:c r="A75" s="49" t="str">
        <x:v>W10</x:v>
      </x:c>
      <x:c r="B75" s="49" t="str">
        <x:v>現代オフィス</x:v>
      </x:c>
      <x:c r="C75" s="49" t="str">
        <x:v>The Performance Review Dispute</x:v>
      </x:c>
      <x:c r="D75" s="49" t="str">
        <x:v>評価が食い違う一対一</x:v>
      </x:c>
      <x:c r="E75" s="49" t="str">
        <x:v>Present day; a scheduled one-on-one after an unexpectedly low rating. No supernatural rule is added.</x:v>
      </x:c>
      <x:c r="F75" s="49" t="str">
        <x:v>the employee contesting the review</x:v>
      </x:c>
      <x:c r="G75" s="49" t="str">
        <x:v>Sofia Grant, your manager who believes the rating is fair</x:v>
      </x:c>
      <x:c r="H75" s="49" t="str">
        <x:v>Sol</x:v>
      </x:c>
      <x:c r="I75" s="49" t="str">
        <x:v>こなれて落ち着く。交渉、駆け引き、仕事に合う</x:v>
      </x:c>
      <x:c r="J75" s="49" t="str">
        <x:v>B1–C1</x:v>
      </x:c>
      <x:c r="K75" s="49" t="str">
        <x:v>ふつう</x:v>
      </x:c>
      <x:c r="L75" s="49" t="str">
        <x:v>2〜3文で自然に受け答え</x:v>
      </x:c>
      <x:c r="M75" s="49" t="str">
        <x:v>clarifying criteria and advocating for yourself</x:v>
      </x:c>
      <x:c r="N75" s="49" t="str">
        <x:v>one-to-one; contemporary pressure; relationship choice</x:v>
      </x:c>
      <x:c r="O75" s="49" t="str">
        <x:v>contemporary, professional, and emotionally grounded</x:v>
      </x:c>
      <x:c r="P75" s="51" t="n">
        <x:v>12</x:v>
      </x:c>
      <x:c r="Q75" s="49" t="str">
        <x:v>compare evidence and define measurable next steps</x:v>
      </x:c>
      <x:c r="R75" s="49" t="str">
        <x:v>the rating affects your visa sponsorship decision this week</x:v>
      </x:c>
      <x:c r="S75" s="49" t="str">
        <x:v>Green</x:v>
      </x:c>
      <x:c r="T75" s="49" t="str">
        <x:v>IES_v7_02_SCENE_CARDS.md#W10</x:v>
      </x:c>
    </x:row>
    <x:row r="76" ht="44" customHeight="1">
      <x:c r="A76" s="49" t="str">
        <x:v>W11</x:v>
      </x:c>
      <x:c r="B76" s="49" t="str">
        <x:v>現代オフィス</x:v>
      </x:c>
      <x:c r="C76" s="49" t="str">
        <x:v>After the Acquisition</x:v>
      </x:c>
      <x:c r="D76" s="49" t="str">
        <x:v>買収後の最初の会話</x:v>
      </x:c>
      <x:c r="E76" s="49" t="str">
        <x:v>Present day; a nearly empty office on the day a larger company takes control. No supernatural rule is added.</x:v>
      </x:c>
      <x:c r="F76" s="49" t="str">
        <x:v>the founder whose role is now uncertain</x:v>
      </x:c>
      <x:c r="G76" s="49" t="str">
        <x:v>Isabel Torres, the acquiring company's integration lead</x:v>
      </x:c>
      <x:c r="H76" s="49" t="str">
        <x:v>Sol</x:v>
      </x:c>
      <x:c r="I76" s="49" t="str">
        <x:v>こなれて落ち着く。交渉、駆け引き、仕事に合う</x:v>
      </x:c>
      <x:c r="J76" s="49" t="str">
        <x:v>B2–C1</x:v>
      </x:c>
      <x:c r="K76" s="49" t="str">
        <x:v>しっかり</x:v>
      </x:c>
      <x:c r="L76" s="49" t="str">
        <x:v>理由説明や交渉まで</x:v>
      </x:c>
      <x:c r="M76" s="49" t="str">
        <x:v>role clarification and conditional agreement</x:v>
      </x:c>
      <x:c r="N76" s="49" t="str">
        <x:v>one-to-one; contemporary pressure; relationship choice</x:v>
      </x:c>
      <x:c r="O76" s="49" t="str">
        <x:v>contemporary, professional, and emotionally grounded</x:v>
      </x:c>
      <x:c r="P76" s="51" t="n">
        <x:v>15</x:v>
      </x:c>
      <x:c r="Q76" s="49" t="str">
        <x:v>protect the team's core work while clarifying your own authority</x:v>
      </x:c>
      <x:c r="R76" s="49" t="str">
        <x:v>Isabel needs a decision before the announcement goes public</x:v>
      </x:c>
      <x:c r="S76" s="49" t="str">
        <x:v>Green</x:v>
      </x:c>
      <x:c r="T76" s="49" t="str">
        <x:v>IES_v7_02_SCENE_CARDS.md#W11</x:v>
      </x:c>
    </x:row>
    <x:row r="77" ht="44" customHeight="1">
      <x:c r="A77" s="49" t="str">
        <x:v>W12</x:v>
      </x:c>
      <x:c r="B77" s="49" t="str">
        <x:v>現代オフィス</x:v>
      </x:c>
      <x:c r="C77" s="49" t="str">
        <x:v>The Hire from the Rival Firm</x:v>
      </x:c>
      <x:c r="D77" s="49" t="str">
        <x:v>競合から来た新しい相棒</x:v>
      </x:c>
      <x:c r="E77" s="49" t="str">
        <x:v>Present day; a consulting office before a joint client workshop. No supernatural rule is added.</x:v>
      </x:c>
      <x:c r="F77" s="49" t="str">
        <x:v>the consultant assigned to work with a former competitor</x:v>
      </x:c>
      <x:c r="G77" s="49" t="str">
        <x:v>Leila Morgan, a renowned strategist you once publicly criticized</x:v>
      </x:c>
      <x:c r="H77" s="49" t="str">
        <x:v>Sol</x:v>
      </x:c>
      <x:c r="I77" s="49" t="str">
        <x:v>こなれて落ち着く。交渉、駆け引き、仕事に合う</x:v>
      </x:c>
      <x:c r="J77" s="49" t="str">
        <x:v>B1–B2</x:v>
      </x:c>
      <x:c r="K77" s="49" t="str">
        <x:v>ふつう</x:v>
      </x:c>
      <x:c r="L77" s="49" t="str">
        <x:v>2〜3文で自然に受け答え</x:v>
      </x:c>
      <x:c r="M77" s="49" t="str">
        <x:v>professional trust-building and division of roles</x:v>
      </x:c>
      <x:c r="N77" s="49" t="str">
        <x:v>one-to-one; contemporary pressure; relationship choice</x:v>
      </x:c>
      <x:c r="O77" s="49" t="str">
        <x:v>contemporary, professional, and emotionally grounded</x:v>
      </x:c>
      <x:c r="P77" s="51" t="n">
        <x:v>12</x:v>
      </x:c>
      <x:c r="Q77" s="49" t="str">
        <x:v>establish working rules and decide who leads which part</x:v>
      </x:c>
      <x:c r="R77" s="49" t="str">
        <x:v>the client expects visible unity in one hour</x:v>
      </x:c>
      <x:c r="S77" s="49" t="str">
        <x:v>Green</x:v>
      </x:c>
      <x:c r="T77" s="49" t="str">
        <x:v>IES_v7_02_SCENE_CARDS.md#W12</x:v>
      </x:c>
    </x:row>
    <x:row r="78" ht="44" customHeight="1">
      <x:c r="A78" s="49" t="str">
        <x:v>W13</x:v>
      </x:c>
      <x:c r="B78" s="49" t="str">
        <x:v>現代オフィス</x:v>
      </x:c>
      <x:c r="C78" s="49" t="str">
        <x:v>The AI-Written Apology</x:v>
      </x:c>
      <x:c r="D78" s="49" t="str">
        <x:v>AIが書いた謝罪文</x:v>
      </x:c>
      <x:c r="E78" s="49" t="str">
        <x:v>Present day; a communications office after an automated email offended major customers. No supernatural rule is added.</x:v>
      </x:c>
      <x:c r="F78" s="49" t="str">
        <x:v>the staff member who approved the message</x:v>
      </x:c>
      <x:c r="G78" s="49" t="str">
        <x:v>Yuna Patel, the communications director reviewing the incident</x:v>
      </x:c>
      <x:c r="H78" s="49" t="str">
        <x:v>Sol</x:v>
      </x:c>
      <x:c r="I78" s="49" t="str">
        <x:v>こなれて落ち着く。交渉、駆け引き、仕事に合う</x:v>
      </x:c>
      <x:c r="J78" s="49" t="str">
        <x:v>B1–C1</x:v>
      </x:c>
      <x:c r="K78" s="49" t="str">
        <x:v>ふつう</x:v>
      </x:c>
      <x:c r="L78" s="49" t="str">
        <x:v>2〜3文で自然に受け答え</x:v>
      </x:c>
      <x:c r="M78" s="49" t="str">
        <x:v>accountability and process design</x:v>
      </x:c>
      <x:c r="N78" s="49" t="str">
        <x:v>one-to-one; contemporary pressure; relationship choice</x:v>
      </x:c>
      <x:c r="O78" s="49" t="str">
        <x:v>contemporary, professional, and emotionally grounded</x:v>
      </x:c>
      <x:c r="P78" s="51" t="n">
        <x:v>12</x:v>
      </x:c>
      <x:c r="Q78" s="49" t="str">
        <x:v>take responsibility and design a human review process</x:v>
      </x:c>
      <x:c r="R78" s="49" t="str">
        <x:v>the company wants to blame the software publicly</x:v>
      </x:c>
      <x:c r="S78" s="49" t="str">
        <x:v>Green</x:v>
      </x:c>
      <x:c r="T78" s="49" t="str">
        <x:v>IES_v7_02_SCENE_CARDS.md#W13</x:v>
      </x:c>
    </x:row>
    <x:row r="79" ht="44" customHeight="1">
      <x:c r="A79" s="49" t="str">
        <x:v>W14</x:v>
      </x:c>
      <x:c r="B79" s="49" t="str">
        <x:v>現代オフィス</x:v>
      </x:c>
      <x:c r="C79" s="49" t="str">
        <x:v>The Side Job Disclosure</x:v>
      </x:c>
      <x:c r="D79" s="49" t="str">
        <x:v>秘密の副業が見つかった日</x:v>
      </x:c>
      <x:c r="E79" s="49" t="str">
        <x:v>Present day; a private meeting after your public creative work was linked to your real name. No supernatural rule is added.</x:v>
      </x:c>
      <x:c r="F79" s="49" t="str">
        <x:v>an employee whose side business may conflict with policy</x:v>
      </x:c>
      <x:c r="G79" s="49" t="str">
        <x:v>Grace Kim, the compliance manager and longtime mentor</x:v>
      </x:c>
      <x:c r="H79" s="49" t="str">
        <x:v>Sol</x:v>
      </x:c>
      <x:c r="I79" s="49" t="str">
        <x:v>こなれて落ち着く。交渉、駆け引き、仕事に合う</x:v>
      </x:c>
      <x:c r="J79" s="49" t="str">
        <x:v>B1–B2</x:v>
      </x:c>
      <x:c r="K79" s="49" t="str">
        <x:v>ふつう</x:v>
      </x:c>
      <x:c r="L79" s="49" t="str">
        <x:v>2〜3文で自然に受け答え</x:v>
      </x:c>
      <x:c r="M79" s="49" t="str">
        <x:v>disclosure and policy negotiation</x:v>
      </x:c>
      <x:c r="N79" s="49" t="str">
        <x:v>one-to-one; contemporary pressure; relationship choice</x:v>
      </x:c>
      <x:c r="O79" s="49" t="str">
        <x:v>contemporary, professional, and emotionally grounded</x:v>
      </x:c>
      <x:c r="P79" s="51" t="n">
        <x:v>12</x:v>
      </x:c>
      <x:c r="Q79" s="49" t="str">
        <x:v>explain the work, disclose conflicts, and negotiate safeguards</x:v>
      </x:c>
      <x:c r="R79" s="49" t="str">
        <x:v>automatic suspension begins unless Grace records a decision today</x:v>
      </x:c>
      <x:c r="S79" s="49" t="str">
        <x:v>Green</x:v>
      </x:c>
      <x:c r="T79" s="49" t="str">
        <x:v>IES_v7_02_SCENE_CARDS.md#W14</x:v>
      </x:c>
    </x:row>
    <x:row r="80" ht="44" customHeight="1">
      <x:c r="A80" s="49" t="str">
        <x:v>W15</x:v>
      </x:c>
      <x:c r="B80" s="49" t="str">
        <x:v>現代オフィス</x:v>
      </x:c>
      <x:c r="C80" s="49" t="str">
        <x:v>Five Minutes to Negotiate</x:v>
      </x:c>
      <x:c r="D80" s="49" t="str">
        <x:v>給与交渉、最後の五分</x:v>
      </x:c>
      <x:c r="E80" s="49" t="str">
        <x:v>Present day; a hiring call at the end of a long recruitment process. No supernatural rule is added.</x:v>
      </x:c>
      <x:c r="F80" s="49" t="str">
        <x:v>the candidate receiving a final offer</x:v>
      </x:c>
      <x:c r="G80" s="49" t="str">
        <x:v>Valerie Stone, the hiring director with limited budget authority</x:v>
      </x:c>
      <x:c r="H80" s="49" t="str">
        <x:v>Sol</x:v>
      </x:c>
      <x:c r="I80" s="49" t="str">
        <x:v>こなれて落ち着く。交渉、駆け引き、仕事に合う</x:v>
      </x:c>
      <x:c r="J80" s="49" t="str">
        <x:v>B1–C1</x:v>
      </x:c>
      <x:c r="K80" s="49" t="str">
        <x:v>ふつう</x:v>
      </x:c>
      <x:c r="L80" s="49" t="str">
        <x:v>2〜3文で自然に受け答え</x:v>
      </x:c>
      <x:c r="M80" s="49" t="str">
        <x:v>salary negotiation and tradeoffs</x:v>
      </x:c>
      <x:c r="N80" s="49" t="str">
        <x:v>one-to-one; contemporary pressure; relationship choice</x:v>
      </x:c>
      <x:c r="O80" s="49" t="str">
        <x:v>contemporary, professional, and emotionally grounded</x:v>
      </x:c>
      <x:c r="P80" s="51" t="n">
        <x:v>10</x:v>
      </x:c>
      <x:c r="Q80" s="49" t="str">
        <x:v>negotiate compensation, flexibility, and review timing</x:v>
      </x:c>
      <x:c r="R80" s="49" t="str">
        <x:v>the offer expires when the call ends</x:v>
      </x:c>
      <x:c r="S80" s="49" t="str">
        <x:v>Green</x:v>
      </x:c>
      <x:c r="T80" s="49" t="str">
        <x:v>IES_v7_02_SCENE_CARDS.md#W15</x:v>
      </x:c>
    </x:row>
    <x:row r="81" ht="44" customHeight="1">
      <x:c r="A81" s="49" t="str">
        <x:v>W16</x:v>
      </x:c>
      <x:c r="B81" s="49" t="str">
        <x:v>現代オフィス</x:v>
      </x:c>
      <x:c r="C81" s="49" t="str">
        <x:v>Before You Report It</x:v>
      </x:c>
      <x:c r="D81" s="49" t="str">
        <x:v>社内告発の相談</x:v>
      </x:c>
      <x:c r="E81" s="49" t="str">
        <x:v>Present day; a private office after you notice manipulated sales figures. No supernatural rule is added.</x:v>
      </x:c>
      <x:c r="F81" s="49" t="str">
        <x:v>the analyst deciding whether to file a formal report</x:v>
      </x:c>
      <x:c r="G81" s="49" t="str">
        <x:v>Renee Alvarez, the internal investigator assigned to advise you</x:v>
      </x:c>
      <x:c r="H81" s="49" t="str">
        <x:v>Sol</x:v>
      </x:c>
      <x:c r="I81" s="49" t="str">
        <x:v>こなれて落ち着く。交渉、駆け引き、仕事に合う</x:v>
      </x:c>
      <x:c r="J81" s="49" t="str">
        <x:v>B2–C1</x:v>
      </x:c>
      <x:c r="K81" s="49" t="str">
        <x:v>しっかり</x:v>
      </x:c>
      <x:c r="L81" s="49" t="str">
        <x:v>理由説明や交渉まで</x:v>
      </x:c>
      <x:c r="M81" s="49" t="str">
        <x:v>evidence description and risk questions</x:v>
      </x:c>
      <x:c r="N81" s="49" t="str">
        <x:v>one-to-one; contemporary pressure; relationship choice</x:v>
      </x:c>
      <x:c r="O81" s="49" t="str">
        <x:v>contemporary, professional, and emotionally grounded</x:v>
      </x:c>
      <x:c r="P81" s="51" t="n">
        <x:v>15</x:v>
      </x:c>
      <x:c r="Q81" s="49" t="str">
        <x:v>separate facts from suspicions and understand protections</x:v>
      </x:c>
      <x:c r="R81" s="49" t="str">
        <x:v>the figures will be submitted to regulators tomorrow</x:v>
      </x:c>
      <x:c r="S81" s="49" t="str">
        <x:v>Green</x:v>
      </x:c>
      <x:c r="T81" s="49" t="str">
        <x:v>IES_v7_02_SCENE_CARDS.md#W16</x:v>
      </x:c>
    </x:row>
    <x:row r="82" ht="44" customHeight="1">
      <x:c r="A82" s="49" t="str">
        <x:v>W17</x:v>
      </x:c>
      <x:c r="B82" s="49" t="str">
        <x:v>現代オフィス</x:v>
      </x:c>
      <x:c r="C82" s="49" t="str">
        <x:v>The Cofounder's Pivot</x:v>
      </x:c>
      <x:c r="D82" s="49" t="str">
        <x:v>共同創業者の方向転換</x:v>
      </x:c>
      <x:c r="E82" s="49" t="str">
        <x:v>Present day; a late-night startup workspace after a surprise product pivot. No supernatural rule is added.</x:v>
      </x:c>
      <x:c r="F82" s="49" t="str">
        <x:v>the cofounder responsible for current customers</x:v>
      </x:c>
      <x:c r="G82" s="49" t="str">
        <x:v>Diana Wells, your visionary but impatient cofounder</x:v>
      </x:c>
      <x:c r="H82" s="49" t="str">
        <x:v>Sol</x:v>
      </x:c>
      <x:c r="I82" s="49" t="str">
        <x:v>こなれて落ち着く。交渉、駆け引き、仕事に合う</x:v>
      </x:c>
      <x:c r="J82" s="49" t="str">
        <x:v>B2–C1</x:v>
      </x:c>
      <x:c r="K82" s="49" t="str">
        <x:v>しっかり</x:v>
      </x:c>
      <x:c r="L82" s="49" t="str">
        <x:v>理由説明や交渉まで</x:v>
      </x:c>
      <x:c r="M82" s="49" t="str">
        <x:v>strategic questioning and phased planning</x:v>
      </x:c>
      <x:c r="N82" s="49" t="str">
        <x:v>one-to-one; contemporary pressure; relationship choice</x:v>
      </x:c>
      <x:c r="O82" s="49" t="str">
        <x:v>contemporary, professional, and emotionally grounded</x:v>
      </x:c>
      <x:c r="P82" s="51" t="n">
        <x:v>15</x:v>
      </x:c>
      <x:c r="Q82" s="49" t="str">
        <x:v>test the new idea without abandoning existing commitments</x:v>
      </x:c>
      <x:c r="R82" s="49" t="str">
        <x:v>Diana has already promised the pivot to investors</x:v>
      </x:c>
      <x:c r="S82" s="49" t="str">
        <x:v>Green</x:v>
      </x:c>
      <x:c r="T82" s="49" t="str">
        <x:v>IES_v7_02_SCENE_CARDS.md#W17</x:v>
      </x:c>
    </x:row>
    <x:row r="83" ht="44" customHeight="1">
      <x:c r="A83" s="49" t="str">
        <x:v>W18</x:v>
      </x:c>
      <x:c r="B83" s="49" t="str">
        <x:v>現代オフィス</x:v>
      </x:c>
      <x:c r="C83" s="49" t="str">
        <x:v>The Mistake Before the Conference</x:v>
      </x:c>
      <x:c r="D83" s="49" t="str">
        <x:v>出張中の重大ミス</x:v>
      </x:c>
      <x:c r="E83" s="49" t="str">
        <x:v>Present day; a hotel business lounge before an international conference. No supernatural rule is added.</x:v>
      </x:c>
      <x:c r="F83" s="49" t="str">
        <x:v>the employee who sent confidential slides to the wrong recipient</x:v>
      </x:c>
      <x:c r="G83" s="49" t="str">
        <x:v>Amara Jones, your legal and business partner on the trip</x:v>
      </x:c>
      <x:c r="H83" s="49" t="str">
        <x:v>Sol</x:v>
      </x:c>
      <x:c r="I83" s="49" t="str">
        <x:v>こなれて落ち着く。交渉、駆け引き、仕事に合う</x:v>
      </x:c>
      <x:c r="J83" s="49" t="str">
        <x:v>B1–C1</x:v>
      </x:c>
      <x:c r="K83" s="49" t="str">
        <x:v>ふつう</x:v>
      </x:c>
      <x:c r="L83" s="49" t="str">
        <x:v>2〜3文で自然に受け答え</x:v>
      </x:c>
      <x:c r="M83" s="49" t="str">
        <x:v>crisis communication and sequencing</x:v>
      </x:c>
      <x:c r="N83" s="49" t="str">
        <x:v>one-to-one; contemporary pressure; relationship choice</x:v>
      </x:c>
      <x:c r="O83" s="49" t="str">
        <x:v>contemporary, professional, and emotionally grounded</x:v>
      </x:c>
      <x:c r="P83" s="51" t="n">
        <x:v>12</x:v>
      </x:c>
      <x:c r="Q83" s="49" t="str">
        <x:v>contain the leak and decide whom to notify first</x:v>
      </x:c>
      <x:c r="R83" s="49" t="str">
        <x:v>the accidental recipient is presenting against you this afternoon</x:v>
      </x:c>
      <x:c r="S83" s="49" t="str">
        <x:v>Green</x:v>
      </x:c>
      <x:c r="T83" s="49" t="str">
        <x:v>IES_v7_02_SCENE_CARDS.md#W18</x:v>
      </x:c>
    </x:row>
    <x:row r="84" ht="44" customHeight="1">
      <x:c r="A84" s="49" t="str">
        <x:v>W19</x:v>
      </x:c>
      <x:c r="B84" s="49" t="str">
        <x:v>現代オフィス</x:v>
      </x:c>
      <x:c r="C84" s="49" t="str">
        <x:v>The Junior Mentor</x:v>
      </x:c>
      <x:c r="D84" s="49" t="str">
        <x:v>後輩からの逆メンタリング</x:v>
      </x:c>
      <x:c r="E84" s="49" t="str">
        <x:v>Present day; a monthly mentoring session with the roles unexpectedly reversed. No supernatural rule is added.</x:v>
      </x:c>
      <x:c r="F84" s="49" t="str">
        <x:v>a senior employee learning a new platform</x:v>
      </x:c>
      <x:c r="G84" s="49" t="str">
        <x:v>Keiko Adams, the junior colleague assigned to coach you</x:v>
      </x:c>
      <x:c r="H84" s="49" t="str">
        <x:v>Sol</x:v>
      </x:c>
      <x:c r="I84" s="49" t="str">
        <x:v>こなれて落ち着く。交渉、駆け引き、仕事に合う</x:v>
      </x:c>
      <x:c r="J84" s="49" t="str">
        <x:v>A2–B1</x:v>
      </x:c>
      <x:c r="K84" s="49" t="str">
        <x:v>やさしい</x:v>
      </x:c>
      <x:c r="L84" s="49" t="str">
        <x:v>短い返事でOK。選択肢や言い換えあり</x:v>
      </x:c>
      <x:c r="M84" s="49" t="str">
        <x:v>learning requests and checking understanding</x:v>
      </x:c>
      <x:c r="N84" s="49" t="str">
        <x:v>one-to-one; contemporary pressure; relationship choice</x:v>
      </x:c>
      <x:c r="O84" s="49" t="str">
        <x:v>contemporary, professional, and emotionally grounded</x:v>
      </x:c>
      <x:c r="P84" s="51" t="n">
        <x:v>10</x:v>
      </x:c>
      <x:c r="Q84" s="49" t="str">
        <x:v>ask for help without defensiveness and establish mutual respect</x:v>
      </x:c>
      <x:c r="R84" s="49" t="str">
        <x:v>your upcoming presentation depends on mastering the tool today</x:v>
      </x:c>
      <x:c r="S84" s="49" t="str">
        <x:v>Green</x:v>
      </x:c>
      <x:c r="T84" s="49" t="str">
        <x:v>IES_v7_02_SCENE_CARDS.md#W19</x:v>
      </x:c>
    </x:row>
    <x:row r="85" ht="44" customHeight="1">
      <x:c r="A85" s="49" t="str">
        <x:v>W20</x:v>
      </x:c>
      <x:c r="B85" s="49" t="str">
        <x:v>現代オフィス</x:v>
      </x:c>
      <x:c r="C85" s="49" t="str">
        <x:v>Credit for the Idea</x:v>
      </x:c>
      <x:c r="D85" s="49" t="str">
        <x:v>会議で奪われたアイデア</x:v>
      </x:c>
      <x:c r="E85" s="49" t="str">
        <x:v>Present day; a hallway after someone else presented your proposal as their own. No supernatural rule is added.</x:v>
      </x:c>
      <x:c r="F85" s="49" t="str">
        <x:v>the original author of the proposal</x:v>
      </x:c>
      <x:c r="G85" s="49" t="str">
        <x:v>Fatima Green, the colleague who used your work without attribution</x:v>
      </x:c>
      <x:c r="H85" s="49" t="str">
        <x:v>Sol</x:v>
      </x:c>
      <x:c r="I85" s="49" t="str">
        <x:v>こなれて落ち着く。交渉、駆け引き、仕事に合う</x:v>
      </x:c>
      <x:c r="J85" s="49" t="str">
        <x:v>B1–B2</x:v>
      </x:c>
      <x:c r="K85" s="49" t="str">
        <x:v>ふつう</x:v>
      </x:c>
      <x:c r="L85" s="49" t="str">
        <x:v>2〜3文で自然に受け答え</x:v>
      </x:c>
      <x:c r="M85" s="49" t="str">
        <x:v>assertive confrontation and repair</x:v>
      </x:c>
      <x:c r="N85" s="49" t="str">
        <x:v>one-to-one; contemporary pressure; relationship choice</x:v>
      </x:c>
      <x:c r="O85" s="49" t="str">
        <x:v>contemporary, professional, and emotionally grounded</x:v>
      </x:c>
      <x:c r="P85" s="51" t="n">
        <x:v>10</x:v>
      </x:c>
      <x:c r="Q85" s="49" t="str">
        <x:v>confront the issue and agree on a correction before leadership votes</x:v>
      </x:c>
      <x:c r="R85" s="49" t="str">
        <x:v>a public accusation could sink the proposal entirely</x:v>
      </x:c>
      <x:c r="S85" s="49" t="str">
        <x:v>Green</x:v>
      </x:c>
      <x:c r="T85" s="49" t="str">
        <x:v>IES_v7_02_SCENE_CARDS.md#W20</x:v>
      </x:c>
    </x:row>
    <x:row r="86" ht="44" customHeight="1">
      <x:c r="A86" s="49" t="str">
        <x:v>W21</x:v>
      </x:c>
      <x:c r="B86" s="49" t="str">
        <x:v>現代オフィス</x:v>
      </x:c>
      <x:c r="C86" s="49" t="str">
        <x:v>Across the Time Zones</x:v>
      </x:c>
      <x:c r="D86" s="49" t="str">
        <x:v>海外チームとの責任境界</x:v>
      </x:c>
      <x:c r="E86" s="49" t="str">
        <x:v>Present day; a handoff call after a production incident bounced between regions. No supernatural rule is added.</x:v>
      </x:c>
      <x:c r="F86" s="49" t="str">
        <x:v>the on-call lead for one region</x:v>
      </x:c>
      <x:c r="G86" s="49" t="str">
        <x:v>Lucia Meyer, the lead for the next time zone</x:v>
      </x:c>
      <x:c r="H86" s="49" t="str">
        <x:v>Sol</x:v>
      </x:c>
      <x:c r="I86" s="49" t="str">
        <x:v>こなれて落ち着く。交渉、駆け引き、仕事に合う</x:v>
      </x:c>
      <x:c r="J86" s="49" t="str">
        <x:v>B1–B2</x:v>
      </x:c>
      <x:c r="K86" s="49" t="str">
        <x:v>ふつう</x:v>
      </x:c>
      <x:c r="L86" s="49" t="str">
        <x:v>2〜3文で自然に受け答え</x:v>
      </x:c>
      <x:c r="M86" s="49" t="str">
        <x:v>operational handoff and precise commitments</x:v>
      </x:c>
      <x:c r="N86" s="49" t="str">
        <x:v>one-to-one; contemporary pressure; relationship choice</x:v>
      </x:c>
      <x:c r="O86" s="49" t="str">
        <x:v>contemporary, professional, and emotionally grounded</x:v>
      </x:c>
      <x:c r="P86" s="51" t="n">
        <x:v>12</x:v>
      </x:c>
      <x:c r="Q86" s="49" t="str">
        <x:v>define ownership, escalation rules, and a clean handoff</x:v>
      </x:c>
      <x:c r="R86" s="49" t="str">
        <x:v>another outage is likely during the next six hours</x:v>
      </x:c>
      <x:c r="S86" s="49" t="str">
        <x:v>Green</x:v>
      </x:c>
      <x:c r="T86" s="49" t="str">
        <x:v>IES_v7_02_SCENE_CARDS.md#W21</x:v>
      </x:c>
    </x:row>
    <x:row r="87" ht="44" customHeight="1">
      <x:c r="A87" s="49" t="str">
        <x:v>W22</x:v>
      </x:c>
      <x:c r="B87" s="49" t="str">
        <x:v>現代オフィス</x:v>
      </x:c>
      <x:c r="C87" s="49" t="str">
        <x:v>The Presentation You Must Stop</x:v>
      </x:c>
      <x:c r="D87" s="49" t="str">
        <x:v>撤回するプレゼン</x:v>
      </x:c>
      <x:c r="E87" s="49" t="str">
        <x:v>Present day; a conference backstage minutes before a keynote. No supernatural rule is added.</x:v>
      </x:c>
      <x:c r="F87" s="49" t="str">
        <x:v>the researcher who discovered a fatal flaw in the announced results</x:v>
      </x:c>
      <x:c r="G87" s="49" t="str">
        <x:v>Bethany Ross, the executive sponsor whose reputation depends on the talk</x:v>
      </x:c>
      <x:c r="H87" s="49" t="str">
        <x:v>Breeze</x:v>
      </x:c>
      <x:c r="I87" s="49" t="str">
        <x:v>表情豊かで真剣。緊迫、怪異、冒険に合う</x:v>
      </x:c>
      <x:c r="J87" s="49" t="str">
        <x:v>B2–C1</x:v>
      </x:c>
      <x:c r="K87" s="49" t="str">
        <x:v>しっかり</x:v>
      </x:c>
      <x:c r="L87" s="49" t="str">
        <x:v>理由説明や交渉まで</x:v>
      </x:c>
      <x:c r="M87" s="49" t="str">
        <x:v>urgent persuasion and evidence</x:v>
      </x:c>
      <x:c r="N87" s="49" t="str">
        <x:v>one-to-one; contemporary pressure; relationship choice</x:v>
      </x:c>
      <x:c r="O87" s="49" t="str">
        <x:v>contemporary, professional, and emotionally grounded</x:v>
      </x:c>
      <x:c r="P87" s="51" t="n">
        <x:v>12</x:v>
      </x:c>
      <x:c r="Q87" s="49" t="str">
        <x:v>persuade her to pause or revise the presentation</x:v>
      </x:c>
      <x:c r="R87" s="49" t="str">
        <x:v>thousands of viewers are already waiting online</x:v>
      </x:c>
      <x:c r="S87" s="49" t="str">
        <x:v>Green</x:v>
      </x:c>
      <x:c r="T87" s="49" t="str">
        <x:v>IES_v7_02_SCENE_CARDS.md#W22</x:v>
      </x:c>
    </x:row>
    <x:row r="88" ht="44" customHeight="1">
      <x:c r="A88" s="49" t="str">
        <x:v>M01</x:v>
      </x:c>
      <x:c r="B88" s="49" t="str">
        <x:v>医療・ケア</x:v>
      </x:c>
      <x:c r="C88" s="49" t="str">
        <x:v>The Night-Shift Handover</x:v>
      </x:c>
      <x:c r="D88" s="49" t="str">
        <x:v>夜勤の引き継ぎ</x:v>
      </x:c>
      <x:c r="E88" s="49" t="str">
        <x:v>Present day; an emergency ward during a crowded shift change. No supernatural rule is added.</x:v>
      </x:c>
      <x:c r="F88" s="49" t="str">
        <x:v>the clinician handing over a complicated patient</x:v>
      </x:c>
      <x:c r="G88" s="49" t="str">
        <x:v>Dr. Mina Rao, the incoming physician</x:v>
      </x:c>
      <x:c r="H88" s="49" t="str">
        <x:v>Juniper</x:v>
      </x:c>
      <x:c r="I88" s="49" t="str">
        <x:v>開放的で明るい。相談、再会、親密な会話に合う</x:v>
      </x:c>
      <x:c r="J88" s="49" t="str">
        <x:v>B1–B2</x:v>
      </x:c>
      <x:c r="K88" s="49" t="str">
        <x:v>ふつう</x:v>
      </x:c>
      <x:c r="L88" s="49" t="str">
        <x:v>2〜3文で自然に受け答え</x:v>
      </x:c>
      <x:c r="M88" s="49" t="str">
        <x:v>structured medical handover</x:v>
      </x:c>
      <x:c r="N88" s="49" t="str">
        <x:v>one-to-one; contemporary pressure; relationship choice</x:v>
      </x:c>
      <x:c r="O88" s="49" t="str">
        <x:v>calm, humane, and precise</x:v>
      </x:c>
      <x:c r="P88" s="51" t="n">
        <x:v>10</x:v>
      </x:c>
      <x:c r="Q88" s="49" t="str">
        <x:v>communicate the critical facts and one uncertainty clearly</x:v>
      </x:c>
      <x:c r="R88" s="49" t="str">
        <x:v>a missed detail could delay urgent treatment</x:v>
      </x:c>
      <x:c r="S88" s="49" t="str">
        <x:v>Green</x:v>
      </x:c>
      <x:c r="T88" s="49" t="str">
        <x:v>IES_v7_02_SCENE_CARDS.md#M01</x:v>
      </x:c>
    </x:row>
    <x:row r="89" ht="44" customHeight="1">
      <x:c r="A89" s="49" t="str">
        <x:v>M02</x:v>
      </x:c>
      <x:c r="B89" s="49" t="str">
        <x:v>医療・ケア</x:v>
      </x:c>
      <x:c r="C89" s="49" t="str">
        <x:v>The Refusal of Treatment</x:v>
      </x:c>
      <x:c r="D89" s="49" t="str">
        <x:v>治療を断る患者との対話</x:v>
      </x:c>
      <x:c r="E89" s="49" t="str">
        <x:v>Present day; a private consultation room after a patient declines the recommended procedure. No supernatural rule is added.</x:v>
      </x:c>
      <x:c r="F89" s="49" t="str">
        <x:v>the clinician responsible for informed consent</x:v>
      </x:c>
      <x:c r="G89" s="49" t="str">
        <x:v>Erin Blake, an adult patient who understands the risk but distrusts the plan</x:v>
      </x:c>
      <x:c r="H89" s="49" t="str">
        <x:v>Juniper</x:v>
      </x:c>
      <x:c r="I89" s="49" t="str">
        <x:v>開放的で明るい。相談、再会、親密な会話に合う</x:v>
      </x:c>
      <x:c r="J89" s="49" t="str">
        <x:v>B1–C1</x:v>
      </x:c>
      <x:c r="K89" s="49" t="str">
        <x:v>ふつう</x:v>
      </x:c>
      <x:c r="L89" s="49" t="str">
        <x:v>2〜3文で自然に受け答え</x:v>
      </x:c>
      <x:c r="M89" s="49" t="str">
        <x:v>informed-choice questions and reassurance</x:v>
      </x:c>
      <x:c r="N89" s="49" t="str">
        <x:v>one-to-one; contemporary pressure; relationship choice</x:v>
      </x:c>
      <x:c r="O89" s="49" t="str">
        <x:v>calm, humane, and precise</x:v>
      </x:c>
      <x:c r="P89" s="51" t="n">
        <x:v>12</x:v>
      </x:c>
      <x:c r="Q89" s="49" t="str">
        <x:v>confirm understanding and explore alternatives without pressure</x:v>
      </x:c>
      <x:c r="R89" s="49" t="str">
        <x:v>the safe treatment window closes tonight</x:v>
      </x:c>
      <x:c r="S89" s="49" t="str">
        <x:v>Green</x:v>
      </x:c>
      <x:c r="T89" s="49" t="str">
        <x:v>IES_v7_02_SCENE_CARDS.md#M02</x:v>
      </x:c>
    </x:row>
    <x:row r="90" ht="44" customHeight="1">
      <x:c r="A90" s="49" t="str">
        <x:v>M03</x:v>
      </x:c>
      <x:c r="B90" s="49" t="str">
        <x:v>医療・ケア</x:v>
      </x:c>
      <x:c r="C90" s="49" t="str">
        <x:v>The Difficult Result</x:v>
      </x:c>
      <x:c r="D90" s="49" t="str">
        <x:v>家族に伝える難しい結果</x:v>
      </x:c>
      <x:c r="E90" s="49" t="str">
        <x:v>Present day; a hospital family room after new test results arrive. No supernatural rule is added.</x:v>
      </x:c>
      <x:c r="F90" s="49" t="str">
        <x:v>the specialist explaining what is known and unknown</x:v>
      </x:c>
      <x:c r="G90" s="49" t="str">
        <x:v>Dr. Sara Malik, the colleague helping you prepare the conversation</x:v>
      </x:c>
      <x:c r="H90" s="49" t="str">
        <x:v>Juniper</x:v>
      </x:c>
      <x:c r="I90" s="49" t="str">
        <x:v>開放的で明るい。相談、再会、親密な会話に合う</x:v>
      </x:c>
      <x:c r="J90" s="49" t="str">
        <x:v>B2–C1</x:v>
      </x:c>
      <x:c r="K90" s="49" t="str">
        <x:v>しっかり</x:v>
      </x:c>
      <x:c r="L90" s="49" t="str">
        <x:v>理由説明や交渉まで</x:v>
      </x:c>
      <x:c r="M90" s="49" t="str">
        <x:v>explaining uncertainty with empathy</x:v>
      </x:c>
      <x:c r="N90" s="49" t="str">
        <x:v>one-to-one; contemporary pressure; relationship choice</x:v>
      </x:c>
      <x:c r="O90" s="49" t="str">
        <x:v>calm, humane, and precise</x:v>
      </x:c>
      <x:c r="P90" s="51" t="n">
        <x:v>12</x:v>
      </x:c>
      <x:c r="Q90" s="49" t="str">
        <x:v>agree on clear language and avoid false certainty</x:v>
      </x:c>
      <x:c r="R90" s="49" t="str">
        <x:v>the family is waiting outside and has conflicting information</x:v>
      </x:c>
      <x:c r="S90" s="49" t="str">
        <x:v>Green</x:v>
      </x:c>
      <x:c r="T90" s="49" t="str">
        <x:v>IES_v7_02_SCENE_CARDS.md#M03</x:v>
      </x:c>
    </x:row>
    <x:row r="91" ht="44" customHeight="1">
      <x:c r="A91" s="49" t="str">
        <x:v>M04</x:v>
      </x:c>
      <x:c r="B91" s="49" t="str">
        <x:v>医療・ケア</x:v>
      </x:c>
      <x:c r="C91" s="49" t="str">
        <x:v>Three Minutes on the Line</x:v>
      </x:c>
      <x:c r="D91" s="49" t="str">
        <x:v>救急電話の三分間</x:v>
      </x:c>
      <x:c r="E91" s="49" t="str">
        <x:v>Present day; an emergency dispatch center during a severe storm. No supernatural rule is added.</x:v>
      </x:c>
      <x:c r="F91" s="49" t="str">
        <x:v>the caller guiding a stranger through first aid</x:v>
      </x:c>
      <x:c r="G91" s="49" t="str">
        <x:v>Mia Flores, the dispatcher keeping you calm</x:v>
      </x:c>
      <x:c r="H91" s="49" t="str">
        <x:v>Breeze</x:v>
      </x:c>
      <x:c r="I91" s="49" t="str">
        <x:v>表情豊かで真剣。緊迫、怪異、冒険に合う</x:v>
      </x:c>
      <x:c r="J91" s="49" t="str">
        <x:v>A2–B1</x:v>
      </x:c>
      <x:c r="K91" s="49" t="str">
        <x:v>やさしい</x:v>
      </x:c>
      <x:c r="L91" s="49" t="str">
        <x:v>短い返事でOK。選択肢や言い換えあり</x:v>
      </x:c>
      <x:c r="M91" s="49" t="str">
        <x:v>emergency description and confirmation</x:v>
      </x:c>
      <x:c r="N91" s="49" t="str">
        <x:v>one-to-one; contemporary pressure; relationship choice</x:v>
      </x:c>
      <x:c r="O91" s="49" t="str">
        <x:v>calm, humane, and precise</x:v>
      </x:c>
      <x:c r="P91" s="51" t="n">
        <x:v>8</x:v>
      </x:c>
      <x:c r="Q91" s="49" t="str">
        <x:v>describe the scene and follow instructions one step at a time</x:v>
      </x:c>
      <x:c r="R91" s="49" t="str">
        <x:v>the ambulance cannot arrive for three minutes</x:v>
      </x:c>
      <x:c r="S91" s="49" t="str">
        <x:v>Green</x:v>
      </x:c>
      <x:c r="T91" s="49" t="str">
        <x:v>IES_v7_02_SCENE_CARDS.md#M04</x:v>
      </x:c>
    </x:row>
    <x:row r="92" ht="44" customHeight="1">
      <x:c r="A92" s="49" t="str">
        <x:v>M05</x:v>
      </x:c>
      <x:c r="B92" s="49" t="str">
        <x:v>医療・ケア</x:v>
      </x:c>
      <x:c r="C92" s="49" t="str">
        <x:v>One More Step</x:v>
      </x:c>
      <x:c r="D92" s="49" t="str">
        <x:v>リハビリをめぐる対立</x:v>
      </x:c>
      <x:c r="E92" s="49" t="str">
        <x:v>Present day; a rehabilitation gym after progress has stalled. No supernatural rule is added.</x:v>
      </x:c>
      <x:c r="F92" s="49" t="str">
        <x:v>the patient frustrated by the current plan</x:v>
      </x:c>
      <x:c r="G92" s="49" t="str">
        <x:v>Tessa Ward, your physical therapist</x:v>
      </x:c>
      <x:c r="H92" s="49" t="str">
        <x:v>Juniper</x:v>
      </x:c>
      <x:c r="I92" s="49" t="str">
        <x:v>開放的で明るい。相談、再会、親密な会話に合う</x:v>
      </x:c>
      <x:c r="J92" s="49" t="str">
        <x:v>A2–B1</x:v>
      </x:c>
      <x:c r="K92" s="49" t="str">
        <x:v>やさしい</x:v>
      </x:c>
      <x:c r="L92" s="49" t="str">
        <x:v>短い返事でOK。選択肢や言い換えあり</x:v>
      </x:c>
      <x:c r="M92" s="49" t="str">
        <x:v>describing symptoms and collaborative planning</x:v>
      </x:c>
      <x:c r="N92" s="49" t="str">
        <x:v>one-to-one; contemporary pressure; relationship choice</x:v>
      </x:c>
      <x:c r="O92" s="49" t="str">
        <x:v>calm, humane, and precise</x:v>
      </x:c>
      <x:c r="P92" s="51" t="n">
        <x:v>10</x:v>
      </x:c>
      <x:c r="Q92" s="49" t="str">
        <x:v>explain pain and goals, then redesign today's session together</x:v>
      </x:c>
      <x:c r="R92" s="49" t="str">
        <x:v>continuing unchanged risks injury, but stopping may delay discharge</x:v>
      </x:c>
      <x:c r="S92" s="49" t="str">
        <x:v>Green</x:v>
      </x:c>
      <x:c r="T92" s="49" t="str">
        <x:v>IES_v7_02_SCENE_CARDS.md#M05</x:v>
      </x:c>
    </x:row>
    <x:row r="93" ht="44" customHeight="1">
      <x:c r="A93" s="49" t="str">
        <x:v>M06</x:v>
      </x:c>
      <x:c r="B93" s="49" t="str">
        <x:v>医療・ケア</x:v>
      </x:c>
      <x:c r="C93" s="49" t="str">
        <x:v>Meaning, Not Just Words</x:v>
      </x:c>
      <x:c r="D93" s="49" t="str">
        <x:v>医療通訳の確認</x:v>
      </x:c>
      <x:c r="E93" s="49" t="str">
        <x:v>Present day; a multilingual clinic appointment. No supernatural rule is added.</x:v>
      </x:c>
      <x:c r="F93" s="49" t="str">
        <x:v>the bilingual staff member asked to interpret an important choice</x:v>
      </x:c>
      <x:c r="G93" s="49" t="str">
        <x:v>Lina Costa, the patient who suspects key nuance is being lost</x:v>
      </x:c>
      <x:c r="H93" s="49" t="str">
        <x:v>Juniper</x:v>
      </x:c>
      <x:c r="I93" s="49" t="str">
        <x:v>開放的で明るい。相談、再会、親密な会話に合う</x:v>
      </x:c>
      <x:c r="J93" s="49" t="str">
        <x:v>B1–B2</x:v>
      </x:c>
      <x:c r="K93" s="49" t="str">
        <x:v>ふつう</x:v>
      </x:c>
      <x:c r="L93" s="49" t="str">
        <x:v>2〜3文で自然に受け答え</x:v>
      </x:c>
      <x:c r="M93" s="49" t="str">
        <x:v>clarification and patient advocacy</x:v>
      </x:c>
      <x:c r="N93" s="49" t="str">
        <x:v>one-to-one; contemporary pressure; relationship choice</x:v>
      </x:c>
      <x:c r="O93" s="49" t="str">
        <x:v>calm, humane, and precise</x:v>
      </x:c>
      <x:c r="P93" s="51" t="n">
        <x:v>10</x:v>
      </x:c>
      <x:c r="Q93" s="49" t="str">
        <x:v>clarify meanings and make sure the decision is truly hers</x:v>
      </x:c>
      <x:c r="R93" s="49" t="str">
        <x:v>the clinician is rushing toward the next appointment</x:v>
      </x:c>
      <x:c r="S93" s="49" t="str">
        <x:v>Green</x:v>
      </x:c>
      <x:c r="T93" s="49" t="str">
        <x:v>IES_v7_02_SCENE_CARDS.md#M06</x:v>
      </x:c>
    </x:row>
    <x:row r="94" ht="44" customHeight="1">
      <x:c r="A94" s="49" t="str">
        <x:v>M07</x:v>
      </x:c>
      <x:c r="B94" s="49" t="str">
        <x:v>医療・ケア</x:v>
      </x:c>
      <x:c r="C94" s="49" t="str">
        <x:v>Speak Up on the Ward</x:v>
      </x:c>
      <x:c r="D94" s="49" t="str">
        <x:v>新人看護師の報告</x:v>
      </x:c>
      <x:c r="E94" s="49" t="str">
        <x:v>Present day; a surgical ward after a subtle change in a patient's condition. No supernatural rule is added.</x:v>
      </x:c>
      <x:c r="F94" s="49" t="str">
        <x:v>a new nurse deciding whether to escalate</x:v>
      </x:c>
      <x:c r="G94" s="49" t="str">
        <x:v>Nadia Bell, the senior nurse who initially dismisses the concern</x:v>
      </x:c>
      <x:c r="H94" s="49" t="str">
        <x:v>Juniper</x:v>
      </x:c>
      <x:c r="I94" s="49" t="str">
        <x:v>開放的で明るい。相談、再会、親密な会話に合う</x:v>
      </x:c>
      <x:c r="J94" s="49" t="str">
        <x:v>B1–B2</x:v>
      </x:c>
      <x:c r="K94" s="49" t="str">
        <x:v>ふつう</x:v>
      </x:c>
      <x:c r="L94" s="49" t="str">
        <x:v>2〜3文で自然に受け答え</x:v>
      </x:c>
      <x:c r="M94" s="49" t="str">
        <x:v>escalation language and evidence</x:v>
      </x:c>
      <x:c r="N94" s="49" t="str">
        <x:v>one-to-one; contemporary pressure; relationship choice</x:v>
      </x:c>
      <x:c r="O94" s="49" t="str">
        <x:v>calm, humane, and precise</x:v>
      </x:c>
      <x:c r="P94" s="51" t="n">
        <x:v>10</x:v>
      </x:c>
      <x:c r="Q94" s="49" t="str">
        <x:v>present observations firmly and request a review</x:v>
      </x:c>
      <x:c r="R94" s="49" t="str">
        <x:v>the vital signs look normal, but the patient is deteriorating</x:v>
      </x:c>
      <x:c r="S94" s="49" t="str">
        <x:v>Green</x:v>
      </x:c>
      <x:c r="T94" s="49" t="str">
        <x:v>IES_v7_02_SCENE_CARDS.md#M07</x:v>
      </x:c>
    </x:row>
    <x:row r="95" ht="44" customHeight="1">
      <x:c r="A95" s="49" t="str">
        <x:v>M08</x:v>
      </x:c>
      <x:c r="B95" s="49" t="str">
        <x:v>医療・ケア</x:v>
      </x:c>
      <x:c r="C95" s="49" t="str">
        <x:v>The Telehealth Misunderstanding</x:v>
      </x:c>
      <x:c r="D95" s="49" t="str">
        <x:v>オンライン診療の誤解</x:v>
      </x:c>
      <x:c r="E95" s="49" t="str">
        <x:v>Present day; a video appointment with unstable audio. No supernatural rule is added.</x:v>
      </x:c>
      <x:c r="F95" s="49" t="str">
        <x:v>the patient trying to explain recurring symptoms</x:v>
      </x:c>
      <x:c r="G95" s="49" t="str">
        <x:v>Dr. Chloe Bennett, the remote physician</x:v>
      </x:c>
      <x:c r="H95" s="49" t="str">
        <x:v>Juniper</x:v>
      </x:c>
      <x:c r="I95" s="49" t="str">
        <x:v>開放的で明るい。相談、再会、親密な会話に合う</x:v>
      </x:c>
      <x:c r="J95" s="49" t="str">
        <x:v>A2–B1</x:v>
      </x:c>
      <x:c r="K95" s="49" t="str">
        <x:v>やさしい</x:v>
      </x:c>
      <x:c r="L95" s="49" t="str">
        <x:v>短い返事でOK。選択肢や言い換えあり</x:v>
      </x:c>
      <x:c r="M95" s="49" t="str">
        <x:v>symptom description and correction</x:v>
      </x:c>
      <x:c r="N95" s="49" t="str">
        <x:v>one-to-one; contemporary pressure; relationship choice</x:v>
      </x:c>
      <x:c r="O95" s="49" t="str">
        <x:v>calm, humane, and precise</x:v>
      </x:c>
      <x:c r="P95" s="51" t="n">
        <x:v>8</x:v>
      </x:c>
      <x:c r="Q95" s="49" t="str">
        <x:v>correct a mistaken assumption and give a precise timeline</x:v>
      </x:c>
      <x:c r="R95" s="49" t="str">
        <x:v>the connection may drop in five minutes</x:v>
      </x:c>
      <x:c r="S95" s="49" t="str">
        <x:v>Green</x:v>
      </x:c>
      <x:c r="T95" s="49" t="str">
        <x:v>IES_v7_02_SCENE_CARDS.md#M08</x:v>
      </x:c>
    </x:row>
    <x:row r="96" ht="44" customHeight="1">
      <x:c r="A96" s="49" t="str">
        <x:v>M09</x:v>
      </x:c>
      <x:c r="B96" s="49" t="str">
        <x:v>医療・ケア</x:v>
      </x:c>
      <x:c r="C96" s="49" t="str">
        <x:v>The Clinical Trial Decision</x:v>
      </x:c>
      <x:c r="D96" s="49" t="str">
        <x:v>研究参加への迷い</x:v>
      </x:c>
      <x:c r="E96" s="49" t="str">
        <x:v>Present day; a research clinic before enrollment closes. No supernatural rule is added.</x:v>
      </x:c>
      <x:c r="F96" s="49" t="str">
        <x:v>a candidate considering an experimental study</x:v>
      </x:c>
      <x:c r="G96" s="49" t="str">
        <x:v>Dr. Maya Singh, the principal investigator</x:v>
      </x:c>
      <x:c r="H96" s="49" t="str">
        <x:v>Juniper</x:v>
      </x:c>
      <x:c r="I96" s="49" t="str">
        <x:v>開放的で明るい。相談、再会、親密な会話に合う</x:v>
      </x:c>
      <x:c r="J96" s="49" t="str">
        <x:v>B1–C1</x:v>
      </x:c>
      <x:c r="K96" s="49" t="str">
        <x:v>ふつう</x:v>
      </x:c>
      <x:c r="L96" s="49" t="str">
        <x:v>2〜3文で自然に受け答え</x:v>
      </x:c>
      <x:c r="M96" s="49" t="str">
        <x:v>risk questions and informed decision-making</x:v>
      </x:c>
      <x:c r="N96" s="49" t="str">
        <x:v>one-to-one; contemporary pressure; relationship choice</x:v>
      </x:c>
      <x:c r="O96" s="49" t="str">
        <x:v>calm, humane, and precise</x:v>
      </x:c>
      <x:c r="P96" s="51" t="n">
        <x:v>15</x:v>
      </x:c>
      <x:c r="Q96" s="49" t="str">
        <x:v>ask about benefits, burdens, privacy, and withdrawal</x:v>
      </x:c>
      <x:c r="R96" s="49" t="str">
        <x:v>transport support is available only if you decide today</x:v>
      </x:c>
      <x:c r="S96" s="49" t="str">
        <x:v>Green</x:v>
      </x:c>
      <x:c r="T96" s="49" t="str">
        <x:v>IES_v7_02_SCENE_CARDS.md#M09</x:v>
      </x:c>
    </x:row>
    <x:row r="97" ht="44" customHeight="1">
      <x:c r="A97" s="49" t="str">
        <x:v>M10</x:v>
      </x:c>
      <x:c r="B97" s="49" t="str">
        <x:v>医療・ケア</x:v>
      </x:c>
      <x:c r="C97" s="49" t="str">
        <x:v>At the Closed Door</x:v>
      </x:c>
      <x:c r="D97" s="49" t="str">
        <x:v>訪問介護、鍵の向こう</x:v>
      </x:c>
      <x:c r="E97" s="49" t="str">
        <x:v>Present day; an apartment hallway during a scheduled care visit. No supernatural rule is added.</x:v>
      </x:c>
      <x:c r="F97" s="49" t="str">
        <x:v>a home-care worker who cannot reach the client</x:v>
      </x:c>
      <x:c r="G97" s="49" t="str">
        <x:v>June Harris, the client's worried daughter on the phone</x:v>
      </x:c>
      <x:c r="H97" s="49" t="str">
        <x:v>Juniper</x:v>
      </x:c>
      <x:c r="I97" s="49" t="str">
        <x:v>開放的で明るい。相談、再会、親密な会話に合う</x:v>
      </x:c>
      <x:c r="J97" s="49" t="str">
        <x:v>B1–B2</x:v>
      </x:c>
      <x:c r="K97" s="49" t="str">
        <x:v>ふつう</x:v>
      </x:c>
      <x:c r="L97" s="49" t="str">
        <x:v>2〜3文で自然に受け答え</x:v>
      </x:c>
      <x:c r="M97" s="49" t="str">
        <x:v>care coordination and cautious escalation</x:v>
      </x:c>
      <x:c r="N97" s="49" t="str">
        <x:v>one-to-one; contemporary pressure; relationship choice</x:v>
      </x:c>
      <x:c r="O97" s="49" t="str">
        <x:v>calm, humane, and precise</x:v>
      </x:c>
      <x:c r="P97" s="51" t="n">
        <x:v>10</x:v>
      </x:c>
      <x:c r="Q97" s="49" t="str">
        <x:v>decide whether the situation is an emergency while respecting privacy</x:v>
      </x:c>
      <x:c r="R97" s="49" t="str">
        <x:v>medication should have been taken an hour ago</x:v>
      </x:c>
      <x:c r="S97" s="49" t="str">
        <x:v>Green</x:v>
      </x:c>
      <x:c r="T97" s="49" t="str">
        <x:v>IES_v7_02_SCENE_CARDS.md#M10</x:v>
      </x:c>
    </x:row>
    <x:row r="98" ht="44" customHeight="1">
      <x:c r="A98" s="49" t="str">
        <x:v>M11</x:v>
      </x:c>
      <x:c r="B98" s="49" t="str">
        <x:v>医療・ケア</x:v>
      </x:c>
      <x:c r="C98" s="49" t="str">
        <x:v>The Leave Request</x:v>
      </x:c>
      <x:c r="D98" s="49" t="str">
        <x:v>メンタルヘルスの休職相談</x:v>
      </x:c>
      <x:c r="E98" s="49" t="str">
        <x:v>Present day; an occupational health consultation. No supernatural rule is added.</x:v>
      </x:c>
      <x:c r="F98" s="49" t="str">
        <x:v>an employee asking for temporary leave without disclosing more than necessary</x:v>
      </x:c>
      <x:c r="G98" s="49" t="str">
        <x:v>Dr. Elena Morris, the occupational physician</x:v>
      </x:c>
      <x:c r="H98" s="49" t="str">
        <x:v>Juniper</x:v>
      </x:c>
      <x:c r="I98" s="49" t="str">
        <x:v>開放的で明るい。相談、再会、親密な会話に合う</x:v>
      </x:c>
      <x:c r="J98" s="49" t="str">
        <x:v>B1–B2</x:v>
      </x:c>
      <x:c r="K98" s="49" t="str">
        <x:v>ふつう</x:v>
      </x:c>
      <x:c r="L98" s="49" t="str">
        <x:v>2〜3文で自然に受け答え</x:v>
      </x:c>
      <x:c r="M98" s="49" t="str">
        <x:v>boundary setting and functional description</x:v>
      </x:c>
      <x:c r="N98" s="49" t="str">
        <x:v>one-to-one; contemporary pressure; relationship choice</x:v>
      </x:c>
      <x:c r="O98" s="49" t="str">
        <x:v>calm, humane, and precise</x:v>
      </x:c>
      <x:c r="P98" s="51" t="n">
        <x:v>12</x:v>
      </x:c>
      <x:c r="Q98" s="49" t="str">
        <x:v>describe work impact, set privacy limits, and discuss accommodations</x:v>
      </x:c>
      <x:c r="R98" s="49" t="str">
        <x:v>the employer needs a recommendation by afternoon</x:v>
      </x:c>
      <x:c r="S98" s="49" t="str">
        <x:v>Green</x:v>
      </x:c>
      <x:c r="T98" s="49" t="str">
        <x:v>IES_v7_02_SCENE_CARDS.md#M11</x:v>
      </x:c>
    </x:row>
    <x:row r="99" ht="44" customHeight="1">
      <x:c r="A99" s="49" t="str">
        <x:v>M12</x:v>
      </x:c>
      <x:c r="B99" s="49" t="str">
        <x:v>医療・ケア</x:v>
      </x:c>
      <x:c r="C99" s="49" t="str">
        <x:v>Before the Operating Room</x:v>
      </x:c>
      <x:c r="D99" s="49" t="str">
        <x:v>手術前の最後の質問</x:v>
      </x:c>
      <x:c r="E99" s="49" t="str">
        <x:v>Present day; a preoperative bay shortly before anesthesia. No supernatural rule is added.</x:v>
      </x:c>
      <x:c r="F99" s="49" t="str">
        <x:v>the patient with a new concern</x:v>
      </x:c>
      <x:c r="G99" s="49" t="str">
        <x:v>Dr. Olivia Hart, the surgeon leading the procedure</x:v>
      </x:c>
      <x:c r="H99" s="49" t="str">
        <x:v>Juniper</x:v>
      </x:c>
      <x:c r="I99" s="49" t="str">
        <x:v>開放的で明るい。相談、再会、親密な会話に合う</x:v>
      </x:c>
      <x:c r="J99" s="49" t="str">
        <x:v>A2–B2</x:v>
      </x:c>
      <x:c r="K99" s="49" t="str">
        <x:v>やさしい</x:v>
      </x:c>
      <x:c r="L99" s="49" t="str">
        <x:v>短い返事でOK。選択肢や言い換えあり</x:v>
      </x:c>
      <x:c r="M99" s="49" t="str">
        <x:v>high-stakes questions and confirmation</x:v>
      </x:c>
      <x:c r="N99" s="49" t="str">
        <x:v>one-to-one; contemporary pressure; relationship choice</x:v>
      </x:c>
      <x:c r="O99" s="49" t="str">
        <x:v>calm, humane, and precise</x:v>
      </x:c>
      <x:c r="P99" s="51" t="n">
        <x:v>10</x:v>
      </x:c>
      <x:c r="Q99" s="49" t="str">
        <x:v>ask the final questions and confirm what would change the plan</x:v>
      </x:c>
      <x:c r="R99" s="49" t="str">
        <x:v>the operating room is ready now</x:v>
      </x:c>
      <x:c r="S99" s="49" t="str">
        <x:v>Green</x:v>
      </x:c>
      <x:c r="T99" s="49" t="str">
        <x:v>IES_v7_02_SCENE_CARDS.md#M12</x:v>
      </x:c>
    </x:row>
    <x:row r="100" ht="44" customHeight="1">
      <x:c r="A100" s="49" t="str">
        <x:v>M13</x:v>
      </x:c>
      <x:c r="B100" s="49" t="str">
        <x:v>医療・ケア</x:v>
      </x:c>
      <x:c r="C100" s="49" t="str">
        <x:v>The Side Effect Question</x:v>
      </x:c>
      <x:c r="D100" s="49" t="str">
        <x:v>薬の副作用を疑う夜</x:v>
      </x:c>
      <x:c r="E100" s="49" t="str">
        <x:v>Present day; a late-night pharmacy consultation. No supernatural rule is added.</x:v>
      </x:c>
      <x:c r="F100" s="49" t="str">
        <x:v>a customer experiencing a new symptom after medication</x:v>
      </x:c>
      <x:c r="G100" s="49" t="str">
        <x:v>Pharmacist Hana Lee, the only clinician available</x:v>
      </x:c>
      <x:c r="H100" s="49" t="str">
        <x:v>Juniper</x:v>
      </x:c>
      <x:c r="I100" s="49" t="str">
        <x:v>開放的で明るい。相談、再会、親密な会話に合う</x:v>
      </x:c>
      <x:c r="J100" s="49" t="str">
        <x:v>A2–B1</x:v>
      </x:c>
      <x:c r="K100" s="49" t="str">
        <x:v>やさしい</x:v>
      </x:c>
      <x:c r="L100" s="49" t="str">
        <x:v>短い返事でOK。選択肢や言い換えあり</x:v>
      </x:c>
      <x:c r="M100" s="49" t="str">
        <x:v>medication questions and safety instructions</x:v>
      </x:c>
      <x:c r="N100" s="49" t="str">
        <x:v>one-to-one; contemporary pressure; relationship choice</x:v>
      </x:c>
      <x:c r="O100" s="49" t="str">
        <x:v>calm, humane, and precise</x:v>
      </x:c>
      <x:c r="P100" s="51" t="n">
        <x:v>8</x:v>
      </x:c>
      <x:c r="Q100" s="49" t="str">
        <x:v>describe timing, check danger signs, and decide the next action</x:v>
      </x:c>
      <x:c r="R100" s="49" t="str">
        <x:v>the nearest clinic is closing soon</x:v>
      </x:c>
      <x:c r="S100" s="49" t="str">
        <x:v>Green</x:v>
      </x:c>
      <x:c r="T100" s="49" t="str">
        <x:v>IES_v7_02_SCENE_CARDS.md#M13</x:v>
      </x:c>
    </x:row>
    <x:row r="101" ht="44" customHeight="1">
      <x:c r="A101" s="49" t="str">
        <x:v>M14</x:v>
      </x:c>
      <x:c r="B101" s="49" t="str">
        <x:v>医療・ケア</x:v>
      </x:c>
      <x:c r="C101" s="49" t="str">
        <x:v>The Home-Care Choice</x:v>
      </x:c>
      <x:c r="D101" s="49" t="str">
        <x:v>在宅看取りの選択</x:v>
      </x:c>
      <x:c r="E101" s="49" t="str">
        <x:v>Present day; a family home during a palliative-care planning visit. No supernatural rule is added.</x:v>
      </x:c>
      <x:c r="F101" s="49" t="str">
        <x:v>the relative coordinating care</x:v>
      </x:c>
      <x:c r="G101" s="49" t="str">
        <x:v>Nurse Rachel Young, the palliative-care specialist</x:v>
      </x:c>
      <x:c r="H101" s="49" t="str">
        <x:v>Juniper</x:v>
      </x:c>
      <x:c r="I101" s="49" t="str">
        <x:v>開放的で明るい。相談、再会、親密な会話に合う</x:v>
      </x:c>
      <x:c r="J101" s="49" t="str">
        <x:v>B2–C1</x:v>
      </x:c>
      <x:c r="K101" s="49" t="str">
        <x:v>しっかり</x:v>
      </x:c>
      <x:c r="L101" s="49" t="str">
        <x:v>理由説明や交渉まで</x:v>
      </x:c>
      <x:c r="M101" s="49" t="str">
        <x:v>values-based planning and empathy</x:v>
      </x:c>
      <x:c r="N101" s="49" t="str">
        <x:v>one-to-one; contemporary pressure; relationship choice</x:v>
      </x:c>
      <x:c r="O101" s="49" t="str">
        <x:v>calm, humane, and precise</x:v>
      </x:c>
      <x:c r="P101" s="51" t="n">
        <x:v>15</x:v>
      </x:c>
      <x:c r="Q101" s="49" t="str">
        <x:v>clarify priorities, support, and what emergencies would change the plan</x:v>
      </x:c>
      <x:c r="R101" s="49" t="str">
        <x:v>family members disagree and the patient is resting nearby</x:v>
      </x:c>
      <x:c r="S101" s="49" t="str">
        <x:v>Green</x:v>
      </x:c>
      <x:c r="T101" s="49" t="str">
        <x:v>IES_v7_02_SCENE_CARDS.md#M14</x:v>
      </x:c>
    </x:row>
    <x:row r="102" ht="44" customHeight="1">
      <x:c r="A102" s="49" t="str">
        <x:v>M15</x:v>
      </x:c>
      <x:c r="B102" s="49" t="str">
        <x:v>医療・ケア</x:v>
      </x:c>
      <x:c r="C102" s="49" t="str">
        <x:v>Why Am I Waiting?</x:v>
      </x:c>
      <x:c r="D102" s="49" t="str">
        <x:v>救急外来の優先順位</x:v>
      </x:c>
      <x:c r="E102" s="49" t="str">
        <x:v>Present day; an overcrowded emergency department. No supernatural rule is added.</x:v>
      </x:c>
      <x:c r="F102" s="49" t="str">
        <x:v>the triage nurse responding to an angry but stable patient</x:v>
      </x:c>
      <x:c r="G102" s="49" t="str">
        <x:v>Ava Robinson, the patient demanding immediate care</x:v>
      </x:c>
      <x:c r="H102" s="49" t="str">
        <x:v>Juniper</x:v>
      </x:c>
      <x:c r="I102" s="49" t="str">
        <x:v>開放的で明るい。相談、再会、親密な会話に合う</x:v>
      </x:c>
      <x:c r="J102" s="49" t="str">
        <x:v>B1–B2</x:v>
      </x:c>
      <x:c r="K102" s="49" t="str">
        <x:v>ふつう</x:v>
      </x:c>
      <x:c r="L102" s="49" t="str">
        <x:v>2〜3文で自然に受け答え</x:v>
      </x:c>
      <x:c r="M102" s="49" t="str">
        <x:v>de-escalation and transparent explanation</x:v>
      </x:c>
      <x:c r="N102" s="49" t="str">
        <x:v>one-to-one; contemporary pressure; relationship choice</x:v>
      </x:c>
      <x:c r="O102" s="49" t="str">
        <x:v>calm, humane, and precise</x:v>
      </x:c>
      <x:c r="P102" s="51" t="n">
        <x:v>10</x:v>
      </x:c>
      <x:c r="Q102" s="49" t="str">
        <x:v>explain triage, reassess symptoms, and offer a safe waiting plan</x:v>
      </x:c>
      <x:c r="R102" s="49" t="str">
        <x:v>another emergency has just taken the last treatment room</x:v>
      </x:c>
      <x:c r="S102" s="49" t="str">
        <x:v>Green</x:v>
      </x:c>
      <x:c r="T102" s="49" t="str">
        <x:v>IES_v7_02_SCENE_CARDS.md#M15</x:v>
      </x:c>
    </x:row>
    <x:row r="103" ht="44" customHeight="1">
      <x:c r="A103" s="49" t="str">
        <x:v>M16</x:v>
      </x:c>
      <x:c r="B103" s="49" t="str">
        <x:v>医療・ケア</x:v>
      </x:c>
      <x:c r="C103" s="49" t="str">
        <x:v>Before the Label</x:v>
      </x:c>
      <x:c r="D103" s="49" t="str">
        <x:v>診断名より先に</x:v>
      </x:c>
      <x:c r="E103" s="49" t="str">
        <x:v>Present day; a specialist clinic discussing uncertain test findings. No supernatural rule is added.</x:v>
      </x:c>
      <x:c r="F103" s="49" t="str">
        <x:v>the patient who wants a definite diagnosis</x:v>
      </x:c>
      <x:c r="G103" s="49" t="str">
        <x:v>Dr. Layla Ahmed, the specialist unwilling to guess</x:v>
      </x:c>
      <x:c r="H103" s="49" t="str">
        <x:v>Juniper</x:v>
      </x:c>
      <x:c r="I103" s="49" t="str">
        <x:v>開放的で明るい。相談、再会、親密な会話に合う</x:v>
      </x:c>
      <x:c r="J103" s="49" t="str">
        <x:v>B1–C1</x:v>
      </x:c>
      <x:c r="K103" s="49" t="str">
        <x:v>ふつう</x:v>
      </x:c>
      <x:c r="L103" s="49" t="str">
        <x:v>2〜3文で自然に受け答え</x:v>
      </x:c>
      <x:c r="M103" s="49" t="str">
        <x:v>uncertainty language and follow-up questions</x:v>
      </x:c>
      <x:c r="N103" s="49" t="str">
        <x:v>one-to-one; contemporary pressure; relationship choice</x:v>
      </x:c>
      <x:c r="O103" s="49" t="str">
        <x:v>calm, humane, and precise</x:v>
      </x:c>
      <x:c r="P103" s="51" t="n">
        <x:v>12</x:v>
      </x:c>
      <x:c r="Q103" s="49" t="str">
        <x:v>separate confirmed facts from possibilities and plan the next test</x:v>
      </x:c>
      <x:c r="R103" s="49" t="str">
        <x:v>online research has convinced you of a frightening diagnosis</x:v>
      </x:c>
      <x:c r="S103" s="49" t="str">
        <x:v>Green</x:v>
      </x:c>
      <x:c r="T103" s="49" t="str">
        <x:v>IES_v7_02_SCENE_CARDS.md#M16</x:v>
      </x:c>
    </x:row>
    <x:row r="104" ht="44" customHeight="1">
      <x:c r="A104" s="49" t="str">
        <x:v>M17</x:v>
      </x:c>
      <x:c r="B104" s="49" t="str">
        <x:v>医療・ケア</x:v>
      </x:c>
      <x:c r="C104" s="49" t="str">
        <x:v>The Pet Emergency</x:v>
      </x:c>
      <x:c r="D104" s="49" t="str">
        <x:v>動物病院の緊急判断</x:v>
      </x:c>
      <x:c r="E104" s="49" t="str">
        <x:v>Present day; a veterinary clinic near closing time. No supernatural rule is added.</x:v>
      </x:c>
      <x:c r="F104" s="49" t="str">
        <x:v>a pet owner deciding between observation and emergency surgery</x:v>
      </x:c>
      <x:c r="G104" s="49" t="str">
        <x:v>Dr. Emily Stone, the veterinarian</x:v>
      </x:c>
      <x:c r="H104" s="49" t="str">
        <x:v>Juniper</x:v>
      </x:c>
      <x:c r="I104" s="49" t="str">
        <x:v>開放的で明るい。相談、再会、親密な会話に合う</x:v>
      </x:c>
      <x:c r="J104" s="49" t="str">
        <x:v>A2–B2</x:v>
      </x:c>
      <x:c r="K104" s="49" t="str">
        <x:v>やさしい</x:v>
      </x:c>
      <x:c r="L104" s="49" t="str">
        <x:v>短い返事でOK。選択肢や言い換えあり</x:v>
      </x:c>
      <x:c r="M104" s="49" t="str">
        <x:v>decision questions and paraphrasing</x:v>
      </x:c>
      <x:c r="N104" s="49" t="str">
        <x:v>one-to-one; contemporary pressure; relationship choice</x:v>
      </x:c>
      <x:c r="O104" s="49" t="str">
        <x:v>calm, humane, and precise</x:v>
      </x:c>
      <x:c r="P104" s="51" t="n">
        <x:v>10</x:v>
      </x:c>
      <x:c r="Q104" s="49" t="str">
        <x:v>understand the evidence, costs, and warning signs</x:v>
      </x:c>
      <x:c r="R104" s="49" t="str">
        <x:v>the surgical team leaves in twenty minutes</x:v>
      </x:c>
      <x:c r="S104" s="49" t="str">
        <x:v>Green</x:v>
      </x:c>
      <x:c r="T104" s="49" t="str">
        <x:v>IES_v7_02_SCENE_CARDS.md#M17</x:v>
      </x:c>
    </x:row>
    <x:row r="105" ht="44" customHeight="1">
      <x:c r="A105" s="49" t="str">
        <x:v>M18</x:v>
      </x:c>
      <x:c r="B105" s="49" t="str">
        <x:v>医療・ケア</x:v>
      </x:c>
      <x:c r="C105" s="49" t="str">
        <x:v>At the Blood Drive</x:v>
      </x:c>
      <x:c r="D105" s="49" t="str">
        <x:v>献血会場の異変</x:v>
      </x:c>
      <x:c r="E105" s="49" t="str">
        <x:v>Present day; a community blood-donation center. No supernatural rule is added.</x:v>
      </x:c>
      <x:c r="F105" s="49" t="str">
        <x:v>a volunteer who notices a donor becoming unwell</x:v>
      </x:c>
      <x:c r="G105" s="49" t="str">
        <x:v>Nurse Sofia Cruz, the site supervisor</x:v>
      </x:c>
      <x:c r="H105" s="49" t="str">
        <x:v>Juniper</x:v>
      </x:c>
      <x:c r="I105" s="49" t="str">
        <x:v>開放的で明るい。相談、再会、親密な会話に合う</x:v>
      </x:c>
      <x:c r="J105" s="49" t="str">
        <x:v>A2–B1</x:v>
      </x:c>
      <x:c r="K105" s="49" t="str">
        <x:v>やさしい</x:v>
      </x:c>
      <x:c r="L105" s="49" t="str">
        <x:v>短い返事でOK。選択肢や言い換えあり</x:v>
      </x:c>
      <x:c r="M105" s="49" t="str">
        <x:v>observation reporting and concise instructions</x:v>
      </x:c>
      <x:c r="N105" s="49" t="str">
        <x:v>one-to-one; contemporary pressure; relationship choice</x:v>
      </x:c>
      <x:c r="O105" s="49" t="str">
        <x:v>calm, humane, and precise</x:v>
      </x:c>
      <x:c r="P105" s="51" t="n">
        <x:v>8</x:v>
      </x:c>
      <x:c r="Q105" s="49" t="str">
        <x:v>report what you saw and help coordinate a safe response</x:v>
      </x:c>
      <x:c r="R105" s="49" t="str">
        <x:v>the room is busy and no alarm has been raised yet</x:v>
      </x:c>
      <x:c r="S105" s="49" t="str">
        <x:v>Green</x:v>
      </x:c>
      <x:c r="T105" s="49" t="str">
        <x:v>IES_v7_02_SCENE_CARDS.md#M18</x:v>
      </x:c>
    </x:row>
    <x:row r="106" ht="44" customHeight="1">
      <x:c r="A106" s="49" t="str">
        <x:v>M19</x:v>
      </x:c>
      <x:c r="B106" s="49" t="str">
        <x:v>医療・ケア</x:v>
      </x:c>
      <x:c r="C106" s="49" t="str">
        <x:v>The Disclosure Meeting</x:v>
      </x:c>
      <x:c r="D106" s="49" t="str">
        <x:v>医療ミスの説明</x:v>
      </x:c>
      <x:c r="E106" s="49" t="str">
        <x:v>Present day; a hospital office after a medication error is discovered. No supernatural rule is added.</x:v>
      </x:c>
      <x:c r="F106" s="49" t="str">
        <x:v>the clinician preparing to speak with the affected patient</x:v>
      </x:c>
      <x:c r="G106" s="49" t="str">
        <x:v>Dr. Irene Walsh, the patient-safety officer</x:v>
      </x:c>
      <x:c r="H106" s="49" t="str">
        <x:v>Juniper</x:v>
      </x:c>
      <x:c r="I106" s="49" t="str">
        <x:v>開放的で明るい。相談、再会、親密な会話に合う</x:v>
      </x:c>
      <x:c r="J106" s="49" t="str">
        <x:v>B2–C1</x:v>
      </x:c>
      <x:c r="K106" s="49" t="str">
        <x:v>しっかり</x:v>
      </x:c>
      <x:c r="L106" s="49" t="str">
        <x:v>理由説明や交渉まで</x:v>
      </x:c>
      <x:c r="M106" s="49" t="str">
        <x:v>accountability and transparent explanation</x:v>
      </x:c>
      <x:c r="N106" s="49" t="str">
        <x:v>one-to-one; contemporary pressure; relationship choice</x:v>
      </x:c>
      <x:c r="O106" s="49" t="str">
        <x:v>calm, humane, and precise</x:v>
      </x:c>
      <x:c r="P106" s="51" t="n">
        <x:v>15</x:v>
      </x:c>
      <x:c r="Q106" s="49" t="str">
        <x:v>state what happened, apologize, and explain immediate protections</x:v>
      </x:c>
      <x:c r="R106" s="49" t="str">
        <x:v>leadership wants to delay disclosure until every detail is known</x:v>
      </x:c>
      <x:c r="S106" s="49" t="str">
        <x:v>Green</x:v>
      </x:c>
      <x:c r="T106" s="49" t="str">
        <x:v>IES_v7_02_SCENE_CARDS.md#M19</x:v>
      </x:c>
    </x:row>
    <x:row r="107" ht="44" customHeight="1">
      <x:c r="A107" s="49" t="str">
        <x:v>M20</x:v>
      </x:c>
      <x:c r="B107" s="49" t="str">
        <x:v>医療・ケア</x:v>
      </x:c>
      <x:c r="C107" s="49" t="str">
        <x:v>Ready to Go Home?</x:v>
      </x:c>
      <x:c r="D107" s="49" t="str">
        <x:v>退院できるかの面談</x:v>
      </x:c>
      <x:c r="E107" s="49" t="str">
        <x:v>Present day; a discharge-planning meeting. No supernatural rule is added.</x:v>
      </x:c>
      <x:c r="F107" s="49" t="str">
        <x:v>a patient eager to leave despite unresolved support needs</x:v>
      </x:c>
      <x:c r="G107" s="49" t="str">
        <x:v>Case Manager Nina Patel, coordinating home services</x:v>
      </x:c>
      <x:c r="H107" s="49" t="str">
        <x:v>Juniper</x:v>
      </x:c>
      <x:c r="I107" s="49" t="str">
        <x:v>開放的で明るい。相談、再会、親密な会話に合う</x:v>
      </x:c>
      <x:c r="J107" s="49" t="str">
        <x:v>B1–B2</x:v>
      </x:c>
      <x:c r="K107" s="49" t="str">
        <x:v>ふつう</x:v>
      </x:c>
      <x:c r="L107" s="49" t="str">
        <x:v>2〜3文で自然に受け答え</x:v>
      </x:c>
      <x:c r="M107" s="49" t="str">
        <x:v>needs assessment and conditional planning</x:v>
      </x:c>
      <x:c r="N107" s="49" t="str">
        <x:v>one-to-one; contemporary pressure; relationship choice</x:v>
      </x:c>
      <x:c r="O107" s="49" t="str">
        <x:v>calm, humane, and precise</x:v>
      </x:c>
      <x:c r="P107" s="51" t="n">
        <x:v>12</x:v>
      </x:c>
      <x:c r="Q107" s="49" t="str">
        <x:v>identify practical barriers and agree on minimum safe conditions</x:v>
      </x:c>
      <x:c r="R107" s="49" t="str">
        <x:v>the bed is needed, but the home has stairs and no caregiver tonight</x:v>
      </x:c>
      <x:c r="S107" s="49" t="str">
        <x:v>Green</x:v>
      </x:c>
      <x:c r="T107" s="49" t="str">
        <x:v>IES_v7_02_SCENE_CARDS.md#M20</x:v>
      </x:c>
    </x:row>
    <x:row r="108" ht="44" customHeight="1">
      <x:c r="A108" s="49" t="str">
        <x:v>M21</x:v>
      </x:c>
      <x:c r="B108" s="49" t="str">
        <x:v>医療・ケア</x:v>
      </x:c>
      <x:c r="C108" s="49" t="str">
        <x:v>Returning to Work</x:v>
      </x:c>
      <x:c r="D108" s="49" t="str">
        <x:v>産業保健の復職判定</x:v>
      </x:c>
      <x:c r="E108" s="49" t="str">
        <x:v>Present day; an occupational health office before a phased return. No supernatural rule is added.</x:v>
      </x:c>
      <x:c r="F108" s="49" t="str">
        <x:v>the employee seeking modified duties</x:v>
      </x:c>
      <x:c r="G108" s="49" t="str">
        <x:v>Dr. Claire Wilson, the physician evaluating readiness</x:v>
      </x:c>
      <x:c r="H108" s="49" t="str">
        <x:v>Juniper</x:v>
      </x:c>
      <x:c r="I108" s="49" t="str">
        <x:v>開放的で明るい。相談、再会、親密な会話に合う</x:v>
      </x:c>
      <x:c r="J108" s="49" t="str">
        <x:v>B1–B2</x:v>
      </x:c>
      <x:c r="K108" s="49" t="str">
        <x:v>ふつう</x:v>
      </x:c>
      <x:c r="L108" s="49" t="str">
        <x:v>2〜3文で自然に受け答え</x:v>
      </x:c>
      <x:c r="M108" s="49" t="str">
        <x:v>functional language and accommodation requests</x:v>
      </x:c>
      <x:c r="N108" s="49" t="str">
        <x:v>one-to-one; contemporary pressure; relationship choice</x:v>
      </x:c>
      <x:c r="O108" s="49" t="str">
        <x:v>calm, humane, and precise</x:v>
      </x:c>
      <x:c r="P108" s="51" t="n">
        <x:v>12</x:v>
      </x:c>
      <x:c r="Q108" s="49" t="str">
        <x:v>explain capabilities and negotiate restrictions without self-disqualification</x:v>
      </x:c>
      <x:c r="R108" s="49" t="str">
        <x:v>your manager expects a yes-or-no answer today</x:v>
      </x:c>
      <x:c r="S108" s="49" t="str">
        <x:v>Green</x:v>
      </x:c>
      <x:c r="T108" s="49" t="str">
        <x:v>IES_v7_02_SCENE_CARDS.md#M21</x:v>
      </x:c>
    </x:row>
    <x:row r="109" ht="44" customHeight="1">
      <x:c r="A109" s="49" t="str">
        <x:v>M22</x:v>
      </x:c>
      <x:c r="B109" s="49" t="str">
        <x:v>医療・ケア</x:v>
      </x:c>
      <x:c r="C109" s="49" t="str">
        <x:v>The Field Clinic</x:v>
      </x:c>
      <x:c r="D109" s="49" t="str">
        <x:v>災害現場の医療連携</x:v>
      </x:c>
      <x:c r="E109" s="49" t="str">
        <x:v>Present day; a temporary clinic after a major earthquake. No supernatural rule is added.</x:v>
      </x:c>
      <x:c r="F109" s="49" t="str">
        <x:v>the volunteer coordinating limited supplies</x:v>
      </x:c>
      <x:c r="G109" s="49" t="str">
        <x:v>Dr. Amina Yusuf, the field medical lead</x:v>
      </x:c>
      <x:c r="H109" s="49" t="str">
        <x:v>Juniper</x:v>
      </x:c>
      <x:c r="I109" s="49" t="str">
        <x:v>開放的で明るい。相談、再会、親密な会話に合う</x:v>
      </x:c>
      <x:c r="J109" s="49" t="str">
        <x:v>B1–C1</x:v>
      </x:c>
      <x:c r="K109" s="49" t="str">
        <x:v>ふつう</x:v>
      </x:c>
      <x:c r="L109" s="49" t="str">
        <x:v>2〜3文で自然に受け答え</x:v>
      </x:c>
      <x:c r="M109" s="49" t="str">
        <x:v>resource prioritization and concise coordination</x:v>
      </x:c>
      <x:c r="N109" s="49" t="str">
        <x:v>one-to-one; contemporary pressure; relationship choice</x:v>
      </x:c>
      <x:c r="O109" s="49" t="str">
        <x:v>calm, humane, and precise</x:v>
      </x:c>
      <x:c r="P109" s="51" t="n">
        <x:v>12</x:v>
      </x:c>
      <x:c r="Q109" s="49" t="str">
        <x:v>prioritize needs and request resources precisely</x:v>
      </x:c>
      <x:c r="R109" s="49" t="str">
        <x:v>oxygen and transport are both running out</x:v>
      </x:c>
      <x:c r="S109" s="49" t="str">
        <x:v>Green</x:v>
      </x:c>
      <x:c r="T109" s="49" t="str">
        <x:v>IES_v7_02_SCENE_CARDS.md#M22</x:v>
      </x:c>
    </x:row>
    <x:row r="110" ht="44" customHeight="1">
      <x:c r="A110" s="49" t="str">
        <x:v>L01</x:v>
      </x:c>
      <x:c r="B110" s="49" t="str">
        <x:v>法律・公共</x:v>
      </x:c>
      <x:c r="C110" s="49" t="str">
        <x:v>The Witness Changes Her Story</x:v>
      </x:c>
      <x:c r="D110" s="49" t="str">
        <x:v>証言を変えた目撃者</x:v>
      </x:c>
      <x:c r="E110" s="49" t="str">
        <x:v>Present day; a courthouse interview room before a hearing. No supernatural rule is added.</x:v>
      </x:c>
      <x:c r="F110" s="49" t="str">
        <x:v>the investigator reviewing a changed statement</x:v>
      </x:c>
      <x:c r="G110" s="49" t="str">
        <x:v>Detective Mara Ellis, the witness liaison</x:v>
      </x:c>
      <x:c r="H110" s="49" t="str">
        <x:v>Breeze</x:v>
      </x:c>
      <x:c r="I110" s="49" t="str">
        <x:v>表情豊かで真剣。緊迫、怪異、冒険に合う</x:v>
      </x:c>
      <x:c r="J110" s="49" t="str">
        <x:v>B2–C1</x:v>
      </x:c>
      <x:c r="K110" s="49" t="str">
        <x:v>しっかり</x:v>
      </x:c>
      <x:c r="L110" s="49" t="str">
        <x:v>理由説明や交渉まで</x:v>
      </x:c>
      <x:c r="M110" s="49" t="str">
        <x:v>neutral questioning and timeline checking</x:v>
      </x:c>
      <x:c r="N110" s="49" t="str">
        <x:v>one-to-one; contemporary pressure; relationship choice</x:v>
      </x:c>
      <x:c r="O110" s="49" t="str">
        <x:v>procedural, tense, and fair</x:v>
      </x:c>
      <x:c r="P110" s="51" t="n">
        <x:v>12</x:v>
      </x:c>
      <x:c r="Q110" s="49" t="str">
        <x:v>understand why the account changed without leading the witness</x:v>
      </x:c>
      <x:c r="R110" s="49" t="str">
        <x:v>the hearing begins in forty minutes</x:v>
      </x:c>
      <x:c r="S110" s="49" t="str">
        <x:v>Green</x:v>
      </x:c>
      <x:c r="T110" s="49" t="str">
        <x:v>IES_v7_02_SCENE_CARDS.md#L01</x:v>
      </x:c>
    </x:row>
    <x:row r="111" ht="44" customHeight="1">
      <x:c r="A111" s="49" t="str">
        <x:v>L02</x:v>
      </x:c>
      <x:c r="B111" s="49" t="str">
        <x:v>法律・公共</x:v>
      </x:c>
      <x:c r="C111" s="49" t="str">
        <x:v>The Eviction Notice</x:v>
      </x:c>
      <x:c r="D111" s="49" t="str">
        <x:v>立ち退き通知への相談</x:v>
      </x:c>
      <x:c r="E111" s="49" t="str">
        <x:v>Present day; a legal-aid office after an unexpected notice arrives. No supernatural rule is added.</x:v>
      </x:c>
      <x:c r="F111" s="49" t="str">
        <x:v>the tenant seeking urgent advice</x:v>
      </x:c>
      <x:c r="G111" s="49" t="str">
        <x:v>Attorney Sofia Reyes, the housing lawyer</x:v>
      </x:c>
      <x:c r="H111" s="49" t="str">
        <x:v>Breeze</x:v>
      </x:c>
      <x:c r="I111" s="49" t="str">
        <x:v>表情豊かで真剣。緊迫、怪異、冒険に合う</x:v>
      </x:c>
      <x:c r="J111" s="49" t="str">
        <x:v>B1–B2</x:v>
      </x:c>
      <x:c r="K111" s="49" t="str">
        <x:v>ふつう</x:v>
      </x:c>
      <x:c r="L111" s="49" t="str">
        <x:v>2〜3文で自然に受け答え</x:v>
      </x:c>
      <x:c r="M111" s="49" t="str">
        <x:v>legal fact description and action planning</x:v>
      </x:c>
      <x:c r="N111" s="49" t="str">
        <x:v>one-to-one; contemporary pressure; relationship choice</x:v>
      </x:c>
      <x:c r="O111" s="49" t="str">
        <x:v>procedural, tense, and fair</x:v>
      </x:c>
      <x:c r="P111" s="51" t="n">
        <x:v>12</x:v>
      </x:c>
      <x:c r="Q111" s="49" t="str">
        <x:v>explain the facts, identify deadlines, and choose a response</x:v>
      </x:c>
      <x:c r="R111" s="49" t="str">
        <x:v>the notice claims you must leave in three days</x:v>
      </x:c>
      <x:c r="S111" s="49" t="str">
        <x:v>Green</x:v>
      </x:c>
      <x:c r="T111" s="49" t="str">
        <x:v>IES_v7_02_SCENE_CARDS.md#L02</x:v>
      </x:c>
    </x:row>
    <x:row r="112" ht="44" customHeight="1">
      <x:c r="A112" s="49" t="str">
        <x:v>L03</x:v>
      </x:c>
      <x:c r="B112" s="49" t="str">
        <x:v>法律・公共</x:v>
      </x:c>
      <x:c r="C112" s="49" t="str">
        <x:v>The Challenged Library Book</x:v>
      </x:c>
      <x:c r="D112" s="49" t="str">
        <x:v>図書館の禁止本</x:v>
      </x:c>
      <x:c r="E112" s="49" t="str">
        <x:v>Present day; a public library office after a formal complaint. No supernatural rule is added.</x:v>
      </x:c>
      <x:c r="F112" s="49" t="str">
        <x:v>the librarian responsible for the collection</x:v>
      </x:c>
      <x:c r="G112" s="49" t="str">
        <x:v>Director Grace Miller, the library head</x:v>
      </x:c>
      <x:c r="H112" s="49" t="str">
        <x:v>Breeze</x:v>
      </x:c>
      <x:c r="I112" s="49" t="str">
        <x:v>表情豊かで真剣。緊迫、怪異、冒険に合う</x:v>
      </x:c>
      <x:c r="J112" s="49" t="str">
        <x:v>B1–C1</x:v>
      </x:c>
      <x:c r="K112" s="49" t="str">
        <x:v>ふつう</x:v>
      </x:c>
      <x:c r="L112" s="49" t="str">
        <x:v>2〜3文で自然に受け答え</x:v>
      </x:c>
      <x:c r="M112" s="49" t="str">
        <x:v>policy explanation and respectful disagreement</x:v>
      </x:c>
      <x:c r="N112" s="49" t="str">
        <x:v>one-to-one; contemporary pressure; relationship choice</x:v>
      </x:c>
      <x:c r="O112" s="49" t="str">
        <x:v>procedural, tense, and fair</x:v>
      </x:c>
      <x:c r="P112" s="51" t="n">
        <x:v>12</x:v>
      </x:c>
      <x:c r="Q112" s="49" t="str">
        <x:v>defend a fair review process without dismissing community concerns</x:v>
      </x:c>
      <x:c r="R112" s="49" t="str">
        <x:v>a public meeting starts tonight</x:v>
      </x:c>
      <x:c r="S112" s="49" t="str">
        <x:v>Green</x:v>
      </x:c>
      <x:c r="T112" s="49" t="str">
        <x:v>IES_v7_02_SCENE_CARDS.md#L03</x:v>
      </x:c>
    </x:row>
    <x:row r="113" ht="44" customHeight="1">
      <x:c r="A113" s="49" t="str">
        <x:v>L04</x:v>
      </x:c>
      <x:c r="B113" s="49" t="str">
        <x:v>法律・公共</x:v>
      </x:c>
      <x:c r="C113" s="49" t="str">
        <x:v>The Name on the Record</x:v>
      </x:c>
      <x:c r="D113" s="49" t="str">
        <x:v>市役所の名前訂正</x:v>
      </x:c>
      <x:c r="E113" s="49" t="str">
        <x:v>Present day; a municipal service counter with a mismatched identity record. No supernatural rule is added.</x:v>
      </x:c>
      <x:c r="F113" s="49" t="str">
        <x:v>the resident requesting a correction</x:v>
      </x:c>
      <x:c r="G113" s="49" t="str">
        <x:v>Clerk Hannah Price, the official who cannot bypass procedure</x:v>
      </x:c>
      <x:c r="H113" s="49" t="str">
        <x:v>Breeze</x:v>
      </x:c>
      <x:c r="I113" s="49" t="str">
        <x:v>表情豊かで真剣。緊迫、怪異、冒険に合う</x:v>
      </x:c>
      <x:c r="J113" s="49" t="str">
        <x:v>A2–B1</x:v>
      </x:c>
      <x:c r="K113" s="49" t="str">
        <x:v>やさしい</x:v>
      </x:c>
      <x:c r="L113" s="49" t="str">
        <x:v>短い返事でOK。選択肢や言い換えあり</x:v>
      </x:c>
      <x:c r="M113" s="49" t="str">
        <x:v>document clarification and formal requests</x:v>
      </x:c>
      <x:c r="N113" s="49" t="str">
        <x:v>one-to-one; contemporary pressure; relationship choice</x:v>
      </x:c>
      <x:c r="O113" s="49" t="str">
        <x:v>procedural, tense, and fair</x:v>
      </x:c>
      <x:c r="P113" s="51" t="n">
        <x:v>10</x:v>
      </x:c>
      <x:c r="Q113" s="49" t="str">
        <x:v>establish the error and find an acceptable form of proof</x:v>
      </x:c>
      <x:c r="R113" s="49" t="str">
        <x:v>the incorrect record blocks travel tomorrow</x:v>
      </x:c>
      <x:c r="S113" s="49" t="str">
        <x:v>Green</x:v>
      </x:c>
      <x:c r="T113" s="49" t="str">
        <x:v>IES_v7_02_SCENE_CARDS.md#L04</x:v>
      </x:c>
    </x:row>
    <x:row r="114" ht="44" customHeight="1">
      <x:c r="A114" s="49" t="str">
        <x:v>L05</x:v>
      </x:c>
      <x:c r="B114" s="49" t="str">
        <x:v>法律・公共</x:v>
      </x:c>
      <x:c r="C114" s="49" t="str">
        <x:v>Jury Selection</x:v>
      </x:c>
      <x:c r="D114" s="49" t="str">
        <x:v>陪審員候補への質問</x:v>
      </x:c>
      <x:c r="E114" s="49" t="str">
        <x:v>Present day; a courtroom during jury selection. No supernatural rule is added.</x:v>
      </x:c>
      <x:c r="F114" s="49" t="str">
        <x:v>a prospective juror with a possible conflict</x:v>
      </x:c>
      <x:c r="G114" s="49" t="str">
        <x:v>Judge Amelia Brooks, questioning your impartiality</x:v>
      </x:c>
      <x:c r="H114" s="49" t="str">
        <x:v>Breeze</x:v>
      </x:c>
      <x:c r="I114" s="49" t="str">
        <x:v>表情豊かで真剣。緊迫、怪異、冒険に合う</x:v>
      </x:c>
      <x:c r="J114" s="49" t="str">
        <x:v>B2–C1</x:v>
      </x:c>
      <x:c r="K114" s="49" t="str">
        <x:v>しっかり</x:v>
      </x:c>
      <x:c r="L114" s="49" t="str">
        <x:v>理由説明や交渉まで</x:v>
      </x:c>
      <x:c r="M114" s="49" t="str">
        <x:v>formal self-disclosure and clarification</x:v>
      </x:c>
      <x:c r="N114" s="49" t="str">
        <x:v>one-to-one; contemporary pressure; relationship choice</x:v>
      </x:c>
      <x:c r="O114" s="49" t="str">
        <x:v>procedural, tense, and fair</x:v>
      </x:c>
      <x:c r="P114" s="51" t="n">
        <x:v>10</x:v>
      </x:c>
      <x:c r="Q114" s="49" t="str">
        <x:v>explain the conflict honestly without arguing the case</x:v>
      </x:c>
      <x:c r="R114" s="49" t="str">
        <x:v>an incomplete answer could remove you or compromise the trial</x:v>
      </x:c>
      <x:c r="S114" s="49" t="str">
        <x:v>Green</x:v>
      </x:c>
      <x:c r="T114" s="49" t="str">
        <x:v>IES_v7_02_SCENE_CARDS.md#L05</x:v>
      </x:c>
    </x:row>
    <x:row r="115" ht="44" customHeight="1">
      <x:c r="A115" s="49" t="str">
        <x:v>L06</x:v>
      </x:c>
      <x:c r="B115" s="49" t="str">
        <x:v>法律・公共</x:v>
      </x:c>
      <x:c r="C115" s="49" t="str">
        <x:v>Making the Report</x:v>
      </x:c>
      <x:c r="D115" s="49" t="str">
        <x:v>警察への被害届</x:v>
      </x:c>
      <x:c r="E115" s="49" t="str">
        <x:v>Present day; a police station interview room. No supernatural rule is added.</x:v>
      </x:c>
      <x:c r="F115" s="49" t="str">
        <x:v>the person reporting repeated harassment</x:v>
      </x:c>
      <x:c r="G115" s="49" t="str">
        <x:v>Officer Dana Kim, the investigator taking the statement</x:v>
      </x:c>
      <x:c r="H115" s="49" t="str">
        <x:v>Breeze</x:v>
      </x:c>
      <x:c r="I115" s="49" t="str">
        <x:v>表情豊かで真剣。緊迫、怪異、冒険に合う</x:v>
      </x:c>
      <x:c r="J115" s="49" t="str">
        <x:v>B1–B2</x:v>
      </x:c>
      <x:c r="K115" s="49" t="str">
        <x:v>ふつう</x:v>
      </x:c>
      <x:c r="L115" s="49" t="str">
        <x:v>2〜3文で自然に受け答え</x:v>
      </x:c>
      <x:c r="M115" s="49" t="str">
        <x:v>incident narration and evidence language</x:v>
      </x:c>
      <x:c r="N115" s="49" t="str">
        <x:v>one-to-one; contemporary pressure; relationship choice</x:v>
      </x:c>
      <x:c r="O115" s="49" t="str">
        <x:v>procedural, tense, and fair</x:v>
      </x:c>
      <x:c r="P115" s="51" t="n">
        <x:v>12</x:v>
      </x:c>
      <x:c r="Q115" s="49" t="str">
        <x:v>give a clear chronology and distinguish evidence from fear</x:v>
      </x:c>
      <x:c r="R115" s="49" t="str">
        <x:v>some messages have disappeared from your phone</x:v>
      </x:c>
      <x:c r="S115" s="49" t="str">
        <x:v>Green</x:v>
      </x:c>
      <x:c r="T115" s="49" t="str">
        <x:v>IES_v7_02_SCENE_CARDS.md#L06</x:v>
      </x:c>
    </x:row>
    <x:row r="116" ht="44" customHeight="1">
      <x:c r="A116" s="49" t="str">
        <x:v>L07</x:v>
      </x:c>
      <x:c r="B116" s="49" t="str">
        <x:v>法律・公共</x:v>
      </x:c>
      <x:c r="C116" s="49" t="str">
        <x:v>Three Minutes at the Board</x:v>
      </x:c>
      <x:c r="D116" s="49" t="str">
        <x:v>学校委員会の公開発言</x:v>
      </x:c>
      <x:c r="E116" s="49" t="str">
        <x:v>Present day; a crowded school-board meeting. No supernatural rule is added.</x:v>
      </x:c>
      <x:c r="F116" s="49" t="str">
        <x:v>a community member speaking about a proposed policy</x:v>
      </x:c>
      <x:c r="G116" s="49" t="str">
        <x:v>Chairwoman Elise Grant, enforcing a strict time limit</x:v>
      </x:c>
      <x:c r="H116" s="49" t="str">
        <x:v>Breeze</x:v>
      </x:c>
      <x:c r="I116" s="49" t="str">
        <x:v>表情豊かで真剣。緊迫、怪異、冒険に合う</x:v>
      </x:c>
      <x:c r="J116" s="49" t="str">
        <x:v>B1–C1</x:v>
      </x:c>
      <x:c r="K116" s="49" t="str">
        <x:v>ふつう</x:v>
      </x:c>
      <x:c r="L116" s="49" t="str">
        <x:v>2〜3文で自然に受け答え</x:v>
      </x:c>
      <x:c r="M116" s="49" t="str">
        <x:v>public comment and concise persuasion</x:v>
      </x:c>
      <x:c r="N116" s="49" t="str">
        <x:v>one-to-one; contemporary pressure; relationship choice</x:v>
      </x:c>
      <x:c r="O116" s="49" t="str">
        <x:v>procedural, tense, and fair</x:v>
      </x:c>
      <x:c r="P116" s="51" t="n">
        <x:v>8</x:v>
      </x:c>
      <x:c r="Q116" s="49" t="str">
        <x:v>make one persuasive request backed by a concrete example</x:v>
      </x:c>
      <x:c r="R116" s="49" t="str">
        <x:v>your microphone cuts off after three minutes</x:v>
      </x:c>
      <x:c r="S116" s="49" t="str">
        <x:v>Green</x:v>
      </x:c>
      <x:c r="T116" s="49" t="str">
        <x:v>IES_v7_02_SCENE_CARDS.md#L07</x:v>
      </x:c>
    </x:row>
    <x:row r="117" ht="44" customHeight="1">
      <x:c r="A117" s="49" t="str">
        <x:v>L08</x:v>
      </x:c>
      <x:c r="B117" s="49" t="str">
        <x:v>法律・公共</x:v>
      </x:c>
      <x:c r="C117" s="49" t="str">
        <x:v>The Border Interview</x:v>
      </x:c>
      <x:c r="D117" s="49" t="str">
        <x:v>入国審査の矛盾</x:v>
      </x:c>
      <x:c r="E117" s="49" t="str">
        <x:v>Present day; an airport secondary-inspection room. No supernatural rule is added.</x:v>
      </x:c>
      <x:c r="F117" s="49" t="str">
        <x:v>a traveler whose itinerary appears inconsistent</x:v>
      </x:c>
      <x:c r="G117" s="49" t="str">
        <x:v>Officer Maya Foster, the immigration officer</x:v>
      </x:c>
      <x:c r="H117" s="49" t="str">
        <x:v>Breeze</x:v>
      </x:c>
      <x:c r="I117" s="49" t="str">
        <x:v>表情豊かで真剣。緊迫、怪異、冒険に合う</x:v>
      </x:c>
      <x:c r="J117" s="49" t="str">
        <x:v>A2–B2</x:v>
      </x:c>
      <x:c r="K117" s="49" t="str">
        <x:v>やさしい</x:v>
      </x:c>
      <x:c r="L117" s="49" t="str">
        <x:v>短い返事でOK。選択肢や言い換えあり</x:v>
      </x:c>
      <x:c r="M117" s="49" t="str">
        <x:v>precise travel explanation</x:v>
      </x:c>
      <x:c r="N117" s="49" t="str">
        <x:v>one-to-one; contemporary pressure; relationship choice</x:v>
      </x:c>
      <x:c r="O117" s="49" t="str">
        <x:v>procedural, tense, and fair</x:v>
      </x:c>
      <x:c r="P117" s="51" t="n">
        <x:v>10</x:v>
      </x:c>
      <x:c r="Q117" s="49" t="str">
        <x:v>clarify the timeline and provide accurate supporting facts</x:v>
      </x:c>
      <x:c r="R117" s="49" t="str">
        <x:v>your connecting flight leaves soon, but rushing may worsen suspicion</x:v>
      </x:c>
      <x:c r="S117" s="49" t="str">
        <x:v>Green</x:v>
      </x:c>
      <x:c r="T117" s="49" t="str">
        <x:v>IES_v7_02_SCENE_CARDS.md#L08</x:v>
      </x:c>
    </x:row>
    <x:row r="118" ht="44" customHeight="1">
      <x:c r="A118" s="49" t="str">
        <x:v>L09</x:v>
      </x:c>
      <x:c r="B118" s="49" t="str">
        <x:v>法律・公共</x:v>
      </x:c>
      <x:c r="C118" s="49" t="str">
        <x:v>The Recorded Complaint</x:v>
      </x:c>
      <x:c r="D118" s="49" t="str">
        <x:v>消費者相談の録音</x:v>
      </x:c>
      <x:c r="E118" s="49" t="str">
        <x:v>Present day; a consumer-protection hotline. No supernatural rule is added.</x:v>
      </x:c>
      <x:c r="F118" s="49" t="str">
        <x:v>a customer disputing a recurring charge</x:v>
      </x:c>
      <x:c r="G118" s="49" t="str">
        <x:v>Investigator Nina Scott, the case officer</x:v>
      </x:c>
      <x:c r="H118" s="49" t="str">
        <x:v>Breeze</x:v>
      </x:c>
      <x:c r="I118" s="49" t="str">
        <x:v>表情豊かで真剣。緊迫、怪異、冒険に合う</x:v>
      </x:c>
      <x:c r="J118" s="49" t="str">
        <x:v>A2–B1</x:v>
      </x:c>
      <x:c r="K118" s="49" t="str">
        <x:v>やさしい</x:v>
      </x:c>
      <x:c r="L118" s="49" t="str">
        <x:v>短い返事でOK。選択肢や言い換えあり</x:v>
      </x:c>
      <x:c r="M118" s="49" t="str">
        <x:v>complaint structure and remedy requests</x:v>
      </x:c>
      <x:c r="N118" s="49" t="str">
        <x:v>one-to-one; contemporary pressure; relationship choice</x:v>
      </x:c>
      <x:c r="O118" s="49" t="str">
        <x:v>procedural, tense, and fair</x:v>
      </x:c>
      <x:c r="P118" s="51" t="n">
        <x:v>10</x:v>
      </x:c>
      <x:c r="Q118" s="49" t="str">
        <x:v>state the issue, previous attempts, and desired remedy</x:v>
      </x:c>
      <x:c r="R118" s="49" t="str">
        <x:v>the company says you consented during a recorded call</x:v>
      </x:c>
      <x:c r="S118" s="49" t="str">
        <x:v>Green</x:v>
      </x:c>
      <x:c r="T118" s="49" t="str">
        <x:v>IES_v7_02_SCENE_CARDS.md#L09</x:v>
      </x:c>
    </x:row>
    <x:row r="119" ht="44" customHeight="1">
      <x:c r="A119" s="49" t="str">
        <x:v>L10</x:v>
      </x:c>
      <x:c r="B119" s="49" t="str">
        <x:v>法律・公共</x:v>
      </x:c>
      <x:c r="C119" s="49" t="str">
        <x:v>Before the Press Conference</x:v>
      </x:c>
      <x:c r="D119" s="49" t="str">
        <x:v>記者会見前の危機対応</x:v>
      </x:c>
      <x:c r="E119" s="49" t="str">
        <x:v>Present day; a city emergency office during a water-quality incident. No supernatural rule is added.</x:v>
      </x:c>
      <x:c r="F119" s="49" t="str">
        <x:v>the public-information officer drafting the first statement</x:v>
      </x:c>
      <x:c r="G119" s="49" t="str">
        <x:v>Commissioner Leah Morgan, the official who wants stronger reassurance</x:v>
      </x:c>
      <x:c r="H119" s="49" t="str">
        <x:v>Breeze</x:v>
      </x:c>
      <x:c r="I119" s="49" t="str">
        <x:v>表情豊かで真剣。緊迫、怪異、冒険に合う</x:v>
      </x:c>
      <x:c r="J119" s="49" t="str">
        <x:v>B2–C1</x:v>
      </x:c>
      <x:c r="K119" s="49" t="str">
        <x:v>しっかり</x:v>
      </x:c>
      <x:c r="L119" s="49" t="str">
        <x:v>理由説明や交渉まで</x:v>
      </x:c>
      <x:c r="M119" s="49" t="str">
        <x:v>public-risk communication</x:v>
      </x:c>
      <x:c r="N119" s="49" t="str">
        <x:v>one-to-one; contemporary pressure; relationship choice</x:v>
      </x:c>
      <x:c r="O119" s="49" t="str">
        <x:v>procedural, tense, and fair</x:v>
      </x:c>
      <x:c r="P119" s="51" t="n">
        <x:v>12</x:v>
      </x:c>
      <x:c r="Q119" s="49" t="str">
        <x:v>separate known facts, precautions, and unknowns</x:v>
      </x:c>
      <x:c r="R119" s="49" t="str">
        <x:v>rumors are spreading faster than test results</x:v>
      </x:c>
      <x:c r="S119" s="49" t="str">
        <x:v>Green</x:v>
      </x:c>
      <x:c r="T119" s="49" t="str">
        <x:v>IES_v7_02_SCENE_CARDS.md#L10</x:v>
      </x:c>
    </x:row>
    <x:row r="120" ht="44" customHeight="1">
      <x:c r="A120" s="49" t="str">
        <x:v>L11</x:v>
      </x:c>
      <x:c r="B120" s="49" t="str">
        <x:v>法律・公共</x:v>
      </x:c>
      <x:c r="C120" s="49" t="str">
        <x:v>The Interview Without a Lawyer</x:v>
      </x:c>
      <x:c r="D120" s="49" t="str">
        <x:v>刑事との取引</x:v>
      </x:c>
      <x:c r="E120" s="49" t="str">
        <x:v>Present day; a police interview room where you are not under arrest. No supernatural rule is added.</x:v>
      </x:c>
      <x:c r="F120" s="49" t="str">
        <x:v>a witness unsure whether to continue speaking</x:v>
      </x:c>
      <x:c r="G120" s="49" t="str">
        <x:v>Detective Chloe Ramirez, the lead investigator</x:v>
      </x:c>
      <x:c r="H120" s="49" t="str">
        <x:v>Breeze</x:v>
      </x:c>
      <x:c r="I120" s="49" t="str">
        <x:v>表情豊かで真剣。緊迫、怪異、冒険に合う</x:v>
      </x:c>
      <x:c r="J120" s="49" t="str">
        <x:v>B2–C1</x:v>
      </x:c>
      <x:c r="K120" s="49" t="str">
        <x:v>しっかり</x:v>
      </x:c>
      <x:c r="L120" s="49" t="str">
        <x:v>理由説明や交渉まで</x:v>
      </x:c>
      <x:c r="M120" s="49" t="str">
        <x:v>rights questions and careful cooperation</x:v>
      </x:c>
      <x:c r="N120" s="49" t="str">
        <x:v>one-to-one; contemporary pressure; relationship choice</x:v>
      </x:c>
      <x:c r="O120" s="49" t="str">
        <x:v>procedural, tense, and fair</x:v>
      </x:c>
      <x:c r="P120" s="51" t="n">
        <x:v>12</x:v>
      </x:c>
      <x:c r="Q120" s="49" t="str">
        <x:v>clarify your status, rights, and what information is being requested</x:v>
      </x:c>
      <x:c r="R120" s="49" t="str">
        <x:v>Chloe says delay could put someone at risk</x:v>
      </x:c>
      <x:c r="S120" s="49" t="str">
        <x:v>Green</x:v>
      </x:c>
      <x:c r="T120" s="49" t="str">
        <x:v>IES_v7_02_SCENE_CARDS.md#L11</x:v>
      </x:c>
    </x:row>
    <x:row r="121" ht="44" customHeight="1">
      <x:c r="A121" s="49" t="str">
        <x:v>L12</x:v>
      </x:c>
      <x:c r="B121" s="49" t="str">
        <x:v>法律・公共</x:v>
      </x:c>
      <x:c r="C121" s="49" t="str">
        <x:v>The Local Debate</x:v>
      </x:c>
      <x:c r="D121" s="49" t="str">
        <x:v>小さな町の選挙討論</x:v>
      </x:c>
      <x:c r="E121" s="49" t="str">
        <x:v>Present day; a community hall during a close council election. No supernatural rule is added.</x:v>
      </x:c>
      <x:c r="F121" s="49" t="str">
        <x:v>a first-time candidate</x:v>
      </x:c>
      <x:c r="G121" s="49" t="str">
        <x:v>Mayor Julia Bennett, the experienced incumbent</x:v>
      </x:c>
      <x:c r="H121" s="49" t="str">
        <x:v>Breeze</x:v>
      </x:c>
      <x:c r="I121" s="49" t="str">
        <x:v>表情豊かで真剣。緊迫、怪異、冒険に合う</x:v>
      </x:c>
      <x:c r="J121" s="49" t="str">
        <x:v>B1–C1</x:v>
      </x:c>
      <x:c r="K121" s="49" t="str">
        <x:v>ふつう</x:v>
      </x:c>
      <x:c r="L121" s="49" t="str">
        <x:v>2〜3文で自然に受け答え</x:v>
      </x:c>
      <x:c r="M121" s="49" t="str">
        <x:v>public rebuttal and policy explanation</x:v>
      </x:c>
      <x:c r="N121" s="49" t="str">
        <x:v>one-to-one; contemporary pressure; relationship choice</x:v>
      </x:c>
      <x:c r="O121" s="49" t="str">
        <x:v>procedural, tense, and fair</x:v>
      </x:c>
      <x:c r="P121" s="51" t="n">
        <x:v>12</x:v>
      </x:c>
      <x:c r="Q121" s="49" t="str">
        <x:v>answer a sharp challenge and state one practical policy</x:v>
      </x:c>
      <x:c r="R121" s="49" t="str">
        <x:v>a misleading rumor has just reached the audience</x:v>
      </x:c>
      <x:c r="S121" s="49" t="str">
        <x:v>Green</x:v>
      </x:c>
      <x:c r="T121" s="49" t="str">
        <x:v>IES_v7_02_SCENE_CARDS.md#L12</x:v>
      </x:c>
    </x:row>
    <x:row r="122" ht="44" customHeight="1">
      <x:c r="A122" s="49" t="str">
        <x:v>L13</x:v>
      </x:c>
      <x:c r="B122" s="49" t="str">
        <x:v>法律・公共</x:v>
      </x:c>
      <x:c r="C122" s="49" t="str">
        <x:v>The Denied Claim</x:v>
      </x:c>
      <x:c r="D122" s="49" t="str">
        <x:v>保険会社への異議申立て</x:v>
      </x:c>
      <x:c r="E122" s="49" t="str">
        <x:v>Present day; an insurance appeal call. No supernatural rule is added.</x:v>
      </x:c>
      <x:c r="F122" s="49" t="str">
        <x:v>the patient challenging a denied treatment claim</x:v>
      </x:c>
      <x:c r="G122" s="49" t="str">
        <x:v>Reviewer Eva Coleman, the insurer's clinical representative</x:v>
      </x:c>
      <x:c r="H122" s="49" t="str">
        <x:v>Breeze</x:v>
      </x:c>
      <x:c r="I122" s="49" t="str">
        <x:v>表情豊かで真剣。緊迫、怪異、冒険に合う</x:v>
      </x:c>
      <x:c r="J122" s="49" t="str">
        <x:v>B2–C1</x:v>
      </x:c>
      <x:c r="K122" s="49" t="str">
        <x:v>しっかり</x:v>
      </x:c>
      <x:c r="L122" s="49" t="str">
        <x:v>理由説明や交渉まで</x:v>
      </x:c>
      <x:c r="M122" s="49" t="str">
        <x:v>formal appeal and evidence mapping</x:v>
      </x:c>
      <x:c r="N122" s="49" t="str">
        <x:v>one-to-one; contemporary pressure; relationship choice</x:v>
      </x:c>
      <x:c r="O122" s="49" t="str">
        <x:v>procedural, tense, and fair</x:v>
      </x:c>
      <x:c r="P122" s="51" t="n">
        <x:v>12</x:v>
      </x:c>
      <x:c r="Q122" s="49" t="str">
        <x:v>connect the evidence to the policy criteria and request reconsideration</x:v>
      </x:c>
      <x:c r="R122" s="49" t="str">
        <x:v>the treatment appointment is tomorrow</x:v>
      </x:c>
      <x:c r="S122" s="49" t="str">
        <x:v>Green</x:v>
      </x:c>
      <x:c r="T122" s="49" t="str">
        <x:v>IES_v7_02_SCENE_CARDS.md#L13</x:v>
      </x:c>
    </x:row>
    <x:row r="123" ht="44" customHeight="1">
      <x:c r="A123" s="49" t="str">
        <x:v>L14</x:v>
      </x:c>
      <x:c r="B123" s="49" t="str">
        <x:v>法律・公共</x:v>
      </x:c>
      <x:c r="C123" s="49" t="str">
        <x:v>The Diplomatic Misquote</x:v>
      </x:c>
      <x:c r="D123" s="49" t="str">
        <x:v>国際会議の通訳事故</x:v>
      </x:c>
      <x:c r="E123" s="49" t="str">
        <x:v>Present day; a bilateral meeting after one sentence was translated incorrectly. No supernatural rule is added.</x:v>
      </x:c>
      <x:c r="F123" s="49" t="str">
        <x:v>the delegation member who noticed the error</x:v>
      </x:c>
      <x:c r="G123" s="49" t="str">
        <x:v>Ambassador Lina Ward, the other side's lead negotiator</x:v>
      </x:c>
      <x:c r="H123" s="49" t="str">
        <x:v>Breeze</x:v>
      </x:c>
      <x:c r="I123" s="49" t="str">
        <x:v>表情豊かで真剣。緊迫、怪異、冒険に合う</x:v>
      </x:c>
      <x:c r="J123" s="49" t="str">
        <x:v>B2–C1</x:v>
      </x:c>
      <x:c r="K123" s="49" t="str">
        <x:v>しっかり</x:v>
      </x:c>
      <x:c r="L123" s="49" t="str">
        <x:v>理由説明や交渉まで</x:v>
      </x:c>
      <x:c r="M123" s="49" t="str">
        <x:v>diplomatic clarification</x:v>
      </x:c>
      <x:c r="N123" s="49" t="str">
        <x:v>one-to-one; contemporary pressure; relationship choice</x:v>
      </x:c>
      <x:c r="O123" s="49" t="str">
        <x:v>procedural, tense, and fair</x:v>
      </x:c>
      <x:c r="P123" s="51" t="n">
        <x:v>12</x:v>
      </x:c>
      <x:c r="Q123" s="49" t="str">
        <x:v>correct the record without accusing the interpreter</x:v>
      </x:c>
      <x:c r="R123" s="49" t="str">
        <x:v>the mistranslation implies a threat and journalists are waiting outside</x:v>
      </x:c>
      <x:c r="S123" s="49" t="str">
        <x:v>Green</x:v>
      </x:c>
      <x:c r="T123" s="49" t="str">
        <x:v>IES_v7_02_SCENE_CARDS.md#L14</x:v>
      </x:c>
    </x:row>
    <x:row r="124" ht="44" customHeight="1">
      <x:c r="A124" s="49" t="str">
        <x:v>L15</x:v>
      </x:c>
      <x:c r="B124" s="49" t="str">
        <x:v>法律・公共</x:v>
      </x:c>
      <x:c r="C124" s="49" t="str">
        <x:v>The Last Confirmed Sighting</x:v>
      </x:c>
      <x:c r="D124" s="49" t="str">
        <x:v>行方不明者の聞き取り</x:v>
      </x:c>
      <x:c r="E124" s="49" t="str">
        <x:v>Present day; a search coordination center. No supernatural rule is added.</x:v>
      </x:c>
      <x:c r="F124" s="49" t="str">
        <x:v>the friend who last saw a missing person</x:v>
      </x:c>
      <x:c r="G124" s="49" t="str">
        <x:v>Detective Isabel Moore, the search lead</x:v>
      </x:c>
      <x:c r="H124" s="49" t="str">
        <x:v>Breeze</x:v>
      </x:c>
      <x:c r="I124" s="49" t="str">
        <x:v>表情豊かで真剣。緊迫、怪異、冒険に合う</x:v>
      </x:c>
      <x:c r="J124" s="49" t="str">
        <x:v>B1–B2</x:v>
      </x:c>
      <x:c r="K124" s="49" t="str">
        <x:v>ふつう</x:v>
      </x:c>
      <x:c r="L124" s="49" t="str">
        <x:v>2〜3文で自然に受け答え</x:v>
      </x:c>
      <x:c r="M124" s="49" t="str">
        <x:v>timeline narration and difficult disclosure</x:v>
      </x:c>
      <x:c r="N124" s="49" t="str">
        <x:v>one-to-one; contemporary pressure; relationship choice</x:v>
      </x:c>
      <x:c r="O124" s="49" t="str">
        <x:v>procedural, tense, and fair</x:v>
      </x:c>
      <x:c r="P124" s="51" t="n">
        <x:v>12</x:v>
      </x:c>
      <x:c r="Q124" s="49" t="str">
        <x:v>reconstruct the final hours and explain one withheld detail</x:v>
      </x:c>
      <x:c r="R124" s="49" t="str">
        <x:v>weather is worsening and search teams need direction</x:v>
      </x:c>
      <x:c r="S124" s="49" t="str">
        <x:v>Green</x:v>
      </x:c>
      <x:c r="T124" s="49" t="str">
        <x:v>IES_v7_02_SCENE_CARDS.md#L15</x:v>
      </x:c>
    </x:row>
    <x:row r="125" ht="44" customHeight="1">
      <x:c r="A125" s="49" t="str">
        <x:v>L16</x:v>
      </x:c>
      <x:c r="B125" s="49" t="str">
        <x:v>法律・公共</x:v>
      </x:c>
      <x:c r="C125" s="49" t="str">
        <x:v>The Camera Vote</x:v>
      </x:c>
      <x:c r="D125" s="49" t="str">
        <x:v>自治会の防犯カメラ</x:v>
      </x:c>
      <x:c r="E125" s="49" t="str">
        <x:v>Present day; an apartment residents' meeting. No supernatural rule is added.</x:v>
      </x:c>
      <x:c r="F125" s="49" t="str">
        <x:v>the resident asked to break a tied vote</x:v>
      </x:c>
      <x:c r="G125" s="49" t="str">
        <x:v>Chairwoman Mia Evans, leading the meeting</x:v>
      </x:c>
      <x:c r="H125" s="49" t="str">
        <x:v>Breeze</x:v>
      </x:c>
      <x:c r="I125" s="49" t="str">
        <x:v>表情豊かで真剣。緊迫、怪異、冒険に合う</x:v>
      </x:c>
      <x:c r="J125" s="49" t="str">
        <x:v>B1–B2</x:v>
      </x:c>
      <x:c r="K125" s="49" t="str">
        <x:v>ふつう</x:v>
      </x:c>
      <x:c r="L125" s="49" t="str">
        <x:v>2〜3文で自然に受け答え</x:v>
      </x:c>
      <x:c r="M125" s="49" t="str">
        <x:v>community deliberation and compromise</x:v>
      </x:c>
      <x:c r="N125" s="49" t="str">
        <x:v>one-to-one; contemporary pressure; relationship choice</x:v>
      </x:c>
      <x:c r="O125" s="49" t="str">
        <x:v>procedural, tense, and fair</x:v>
      </x:c>
      <x:c r="P125" s="51" t="n">
        <x:v>12</x:v>
      </x:c>
      <x:c r="Q125" s="49" t="str">
        <x:v>balance safety, privacy, cost, and access rules</x:v>
      </x:c>
      <x:c r="R125" s="49" t="str">
        <x:v>a recent theft has made the room emotional</x:v>
      </x:c>
      <x:c r="S125" s="49" t="str">
        <x:v>Green</x:v>
      </x:c>
      <x:c r="T125" s="49" t="str">
        <x:v>IES_v7_02_SCENE_CARDS.md#L16</x:v>
      </x:c>
    </x:row>
    <x:row r="126" ht="44" customHeight="1">
      <x:c r="A126" s="49" t="str">
        <x:v>L17</x:v>
      </x:c>
      <x:c r="B126" s="49" t="str">
        <x:v>法律・公共</x:v>
      </x:c>
      <x:c r="C126" s="49" t="str">
        <x:v>The Missing Public Record</x:v>
      </x:c>
      <x:c r="D126" s="49" t="str">
        <x:v>記録公開請求</x:v>
      </x:c>
      <x:c r="E126" s="49" t="str">
        <x:v>Present day; a government records office. No supernatural rule is added.</x:v>
      </x:c>
      <x:c r="F126" s="49" t="str">
        <x:v>a journalist seeking a delayed public document</x:v>
      </x:c>
      <x:c r="G126" s="49" t="str">
        <x:v>Officer Claire Adams, the records custodian</x:v>
      </x:c>
      <x:c r="H126" s="49" t="str">
        <x:v>Breeze</x:v>
      </x:c>
      <x:c r="I126" s="49" t="str">
        <x:v>表情豊かで真剣。緊迫、怪異、冒険に合う</x:v>
      </x:c>
      <x:c r="J126" s="49" t="str">
        <x:v>B2–C1</x:v>
      </x:c>
      <x:c r="K126" s="49" t="str">
        <x:v>しっかり</x:v>
      </x:c>
      <x:c r="L126" s="49" t="str">
        <x:v>理由説明や交渉まで</x:v>
      </x:c>
      <x:c r="M126" s="49" t="str">
        <x:v>formal inquiry and scope negotiation</x:v>
      </x:c>
      <x:c r="N126" s="49" t="str">
        <x:v>one-to-one; contemporary pressure; relationship choice</x:v>
      </x:c>
      <x:c r="O126" s="49" t="str">
        <x:v>procedural, tense, and fair</x:v>
      </x:c>
      <x:c r="P126" s="51" t="n">
        <x:v>12</x:v>
      </x:c>
      <x:c r="Q126" s="49" t="str">
        <x:v>narrow the request and challenge an unclear exemption</x:v>
      </x:c>
      <x:c r="R126" s="49" t="str">
        <x:v>a major vote happens tomorrow</x:v>
      </x:c>
      <x:c r="S126" s="49" t="str">
        <x:v>Green</x:v>
      </x:c>
      <x:c r="T126" s="49" t="str">
        <x:v>IES_v7_02_SCENE_CARDS.md#L17</x:v>
      </x:c>
    </x:row>
    <x:row r="127" ht="44" customHeight="1">
      <x:c r="A127" s="49" t="str">
        <x:v>L18</x:v>
      </x:c>
      <x:c r="B127" s="49" t="str">
        <x:v>法律・公共</x:v>
      </x:c>
      <x:c r="C127" s="49" t="str">
        <x:v>The Item in Your Bag</x:v>
      </x:c>
      <x:c r="D127" s="49" t="str">
        <x:v>空港税関の申告</x:v>
      </x:c>
      <x:c r="E127" s="49" t="str">
        <x:v>Present day; a customs inspection area. No supernatural rule is added.</x:v>
      </x:c>
      <x:c r="F127" s="49" t="str">
        <x:v>a traveler carrying an unusual inherited object</x:v>
      </x:c>
      <x:c r="G127" s="49" t="str">
        <x:v>Officer Natalie Cruz, the customs examiner</x:v>
      </x:c>
      <x:c r="H127" s="49" t="str">
        <x:v>Breeze</x:v>
      </x:c>
      <x:c r="I127" s="49" t="str">
        <x:v>表情豊かで真剣。緊迫、怪異、冒険に合う</x:v>
      </x:c>
      <x:c r="J127" s="49" t="str">
        <x:v>A2–B2</x:v>
      </x:c>
      <x:c r="K127" s="49" t="str">
        <x:v>やさしい</x:v>
      </x:c>
      <x:c r="L127" s="49" t="str">
        <x:v>短い返事でOK。選択肢や言い換えあり</x:v>
      </x:c>
      <x:c r="M127" s="49" t="str">
        <x:v>precise description and compliance questions</x:v>
      </x:c>
      <x:c r="N127" s="49" t="str">
        <x:v>one-to-one; contemporary pressure; relationship choice</x:v>
      </x:c>
      <x:c r="O127" s="49" t="str">
        <x:v>procedural, tense, and fair</x:v>
      </x:c>
      <x:c r="P127" s="51" t="n">
        <x:v>10</x:v>
      </x:c>
      <x:c r="Q127" s="49" t="str">
        <x:v>describe the item's origin and ask what declaration is required</x:v>
      </x:c>
      <x:c r="R127" s="49" t="str">
        <x:v>the object may be culturally protected rather than merely valuable</x:v>
      </x:c>
      <x:c r="S127" s="49" t="str">
        <x:v>Green</x:v>
      </x:c>
      <x:c r="T127" s="49" t="str">
        <x:v>IES_v7_02_SCENE_CARDS.md#L18</x:v>
      </x:c>
    </x:row>
    <x:row r="128" ht="44" customHeight="1">
      <x:c r="A128" s="49" t="str">
        <x:v>L19</x:v>
      </x:c>
      <x:c r="B128" s="49" t="str">
        <x:v>法律・公共</x:v>
      </x:c>
      <x:c r="C128" s="49" t="str">
        <x:v>The Mediation Table</x:v>
      </x:c>
      <x:c r="D128" s="49" t="str">
        <x:v>調停室の隣人問題</x:v>
      </x:c>
      <x:c r="E128" s="49" t="str">
        <x:v>Present day; a community mediation center. No supernatural rule is added.</x:v>
      </x:c>
      <x:c r="F128" s="49" t="str">
        <x:v>one neighbor in a long-running noise dispute</x:v>
      </x:c>
      <x:c r="G128" s="49" t="str">
        <x:v>Mediator Laura James, the neutral facilitator</x:v>
      </x:c>
      <x:c r="H128" s="49" t="str">
        <x:v>Breeze</x:v>
      </x:c>
      <x:c r="I128" s="49" t="str">
        <x:v>表情豊かで真剣。緊迫、怪異、冒険に合う</x:v>
      </x:c>
      <x:c r="J128" s="49" t="str">
        <x:v>B1–B2</x:v>
      </x:c>
      <x:c r="K128" s="49" t="str">
        <x:v>ふつう</x:v>
      </x:c>
      <x:c r="L128" s="49" t="str">
        <x:v>2〜3文で自然に受け答え</x:v>
      </x:c>
      <x:c r="M128" s="49" t="str">
        <x:v>mediation and measurable agreements</x:v>
      </x:c>
      <x:c r="N128" s="49" t="str">
        <x:v>one-to-one; contemporary pressure; relationship choice</x:v>
      </x:c>
      <x:c r="O128" s="49" t="str">
        <x:v>procedural, tense, and fair</x:v>
      </x:c>
      <x:c r="P128" s="51" t="n">
        <x:v>12</x:v>
      </x:c>
      <x:c r="Q128" s="49" t="str">
        <x:v>state impact, acknowledge one mistake, and negotiate testable rules</x:v>
      </x:c>
      <x:c r="R128" s="49" t="str">
        <x:v>both sides have already threatened court action</x:v>
      </x:c>
      <x:c r="S128" s="49" t="str">
        <x:v>Green</x:v>
      </x:c>
      <x:c r="T128" s="49" t="str">
        <x:v>IES_v7_02_SCENE_CARDS.md#L19</x:v>
      </x:c>
    </x:row>
    <x:row r="129" ht="44" customHeight="1">
      <x:c r="A129" s="49" t="str">
        <x:v>L20</x:v>
      </x:c>
      <x:c r="B129" s="49" t="str">
        <x:v>法律・公共</x:v>
      </x:c>
      <x:c r="C129" s="49" t="str">
        <x:v>The Compliance Interview</x:v>
      </x:c>
      <x:c r="D129" s="49" t="str">
        <x:v>内部調査の面談</x:v>
      </x:c>
      <x:c r="E129" s="49" t="str">
        <x:v>Present day; a corporate investigation room. No supernatural rule is added.</x:v>
      </x:c>
      <x:c r="F129" s="49" t="str">
        <x:v>an employee who witnessed possible retaliation</x:v>
      </x:c>
      <x:c r="G129" s="49" t="str">
        <x:v>Investigator Rachel Owen, the independent interviewer</x:v>
      </x:c>
      <x:c r="H129" s="49" t="str">
        <x:v>Breeze</x:v>
      </x:c>
      <x:c r="I129" s="49" t="str">
        <x:v>表情豊かで真剣。緊迫、怪異、冒険に合う</x:v>
      </x:c>
      <x:c r="J129" s="49" t="str">
        <x:v>B2–C1</x:v>
      </x:c>
      <x:c r="K129" s="49" t="str">
        <x:v>しっかり</x:v>
      </x:c>
      <x:c r="L129" s="49" t="str">
        <x:v>理由説明や交渉まで</x:v>
      </x:c>
      <x:c r="M129" s="49" t="str">
        <x:v>workplace testimony and boundaries</x:v>
      </x:c>
      <x:c r="N129" s="49" t="str">
        <x:v>one-to-one; contemporary pressure; relationship choice</x:v>
      </x:c>
      <x:c r="O129" s="49" t="str">
        <x:v>procedural, tense, and fair</x:v>
      </x:c>
      <x:c r="P129" s="51" t="n">
        <x:v>12</x:v>
      </x:c>
      <x:c r="Q129" s="49" t="str">
        <x:v>report events accurately and set confidentiality expectations</x:v>
      </x:c>
      <x:c r="R129" s="49" t="str">
        <x:v>your supervisor has asked what you plan to say</x:v>
      </x:c>
      <x:c r="S129" s="49" t="str">
        <x:v>Green</x:v>
      </x:c>
      <x:c r="T129" s="49" t="str">
        <x:v>IES_v7_02_SCENE_CARDS.md#L20</x:v>
      </x:c>
    </x:row>
    <x:row r="130" ht="44" customHeight="1">
      <x:c r="A130" s="49" t="str">
        <x:v>L21</x:v>
      </x:c>
      <x:c r="B130" s="49" t="str">
        <x:v>法律・公共</x:v>
      </x:c>
      <x:c r="C130" s="49" t="str">
        <x:v>The Evacuation Zone</x:v>
      </x:c>
      <x:c r="D130" s="49" t="str">
        <x:v>災害避難命令への反論</x:v>
      </x:c>
      <x:c r="E130" s="49" t="str">
        <x:v>Present day; a town emergency center during a wildfire. No supernatural rule is added.</x:v>
      </x:c>
      <x:c r="F130" s="49" t="str">
        <x:v>a resident asking to reenter the restricted area</x:v>
      </x:c>
      <x:c r="G130" s="49" t="str">
        <x:v>Chief Elena Garcia, the evacuation coordinator</x:v>
      </x:c>
      <x:c r="H130" s="49" t="str">
        <x:v>Breeze</x:v>
      </x:c>
      <x:c r="I130" s="49" t="str">
        <x:v>表情豊かで真剣。緊迫、怪異、冒険に合う</x:v>
      </x:c>
      <x:c r="J130" s="49" t="str">
        <x:v>B1–B2</x:v>
      </x:c>
      <x:c r="K130" s="49" t="str">
        <x:v>ふつう</x:v>
      </x:c>
      <x:c r="L130" s="49" t="str">
        <x:v>2〜3文で自然に受け答え</x:v>
      </x:c>
      <x:c r="M130" s="49" t="str">
        <x:v>urgent requests and safety negotiation</x:v>
      </x:c>
      <x:c r="N130" s="49" t="str">
        <x:v>one-to-one; contemporary pressure; relationship choice</x:v>
      </x:c>
      <x:c r="O130" s="49" t="str">
        <x:v>procedural, tense, and fair</x:v>
      </x:c>
      <x:c r="P130" s="51" t="n">
        <x:v>10</x:v>
      </x:c>
      <x:c r="Q130" s="49" t="str">
        <x:v>explain the urgent need and understand what exception is possible</x:v>
      </x:c>
      <x:c r="R130" s="49" t="str">
        <x:v>wind conditions may close the road permanently</x:v>
      </x:c>
      <x:c r="S130" s="49" t="str">
        <x:v>Green</x:v>
      </x:c>
      <x:c r="T130" s="49" t="str">
        <x:v>IES_v7_02_SCENE_CARDS.md#L21</x:v>
      </x:c>
    </x:row>
    <x:row r="131" ht="44" customHeight="1">
      <x:c r="A131" s="49" t="str">
        <x:v>L22</x:v>
      </x:c>
      <x:c r="B131" s="49" t="str">
        <x:v>法律・公共</x:v>
      </x:c>
      <x:c r="C131" s="49" t="str">
        <x:v>The Return of the Artifact</x:v>
      </x:c>
      <x:c r="D131" s="49" t="str">
        <x:v>博物館への返還請求</x:v>
      </x:c>
      <x:c r="E131" s="49" t="str">
        <x:v>Present day; a museum conference room. No supernatural rule is added.</x:v>
      </x:c>
      <x:c r="F131" s="49" t="str">
        <x:v>the representative of a community requesting an object's return</x:v>
      </x:c>
      <x:c r="G131" s="49" t="str">
        <x:v>Curator Maya Thompson, responsible for the collection</x:v>
      </x:c>
      <x:c r="H131" s="49" t="str">
        <x:v>Breeze</x:v>
      </x:c>
      <x:c r="I131" s="49" t="str">
        <x:v>表情豊かで真剣。緊迫、怪異、冒険に合う</x:v>
      </x:c>
      <x:c r="J131" s="49" t="str">
        <x:v>B2–C1</x:v>
      </x:c>
      <x:c r="K131" s="49" t="str">
        <x:v>しっかり</x:v>
      </x:c>
      <x:c r="L131" s="49" t="str">
        <x:v>理由説明や交渉まで</x:v>
      </x:c>
      <x:c r="M131" s="49" t="str">
        <x:v>historical claims and process negotiation</x:v>
      </x:c>
      <x:c r="N131" s="49" t="str">
        <x:v>one-to-one; contemporary pressure; relationship choice</x:v>
      </x:c>
      <x:c r="O131" s="49" t="str">
        <x:v>procedural, tense, and fair</x:v>
      </x:c>
      <x:c r="P131" s="51" t="n">
        <x:v>15</x:v>
      </x:c>
      <x:c r="Q131" s="49" t="str">
        <x:v>present the claim, discuss evidence, and define a fair next process</x:v>
      </x:c>
      <x:c r="R131" s="49" t="str">
        <x:v>an exhibition featuring the object opens next week</x:v>
      </x:c>
      <x:c r="S131" s="49" t="str">
        <x:v>Green</x:v>
      </x:c>
      <x:c r="T131" s="49" t="str">
        <x:v>IES_v7_02_SCENE_CARDS.md#L22</x:v>
      </x:c>
    </x:row>
    <x:row r="132" ht="44" customHeight="1">
      <x:c r="A132" s="49" t="str">
        <x:v>C01</x:v>
      </x:c>
      <x:c r="B132" s="49" t="str">
        <x:v>芸能・クリエイター</x:v>
      </x:c>
      <x:c r="C132" s="49" t="str">
        <x:v>The Live Stream with Your Rival</x:v>
      </x:c>
      <x:c r="D132" s="49" t="str">
        <x:v>不仲コンビの生配信</x:v>
      </x:c>
      <x:c r="E132" s="49" t="str">
        <x:v>Present day; a streaming studio seconds before a sponsored broadcast. No supernatural rule is added.</x:v>
      </x:c>
      <x:c r="F132" s="49" t="str">
        <x:v>one half of a publicly friendly but privately tense duo</x:v>
      </x:c>
      <x:c r="G132" s="49" t="str">
        <x:v>Rina Hayes, your on-camera partner and creative rival</x:v>
      </x:c>
      <x:c r="H132" s="49" t="str">
        <x:v>Juniper</x:v>
      </x:c>
      <x:c r="I132" s="49" t="str">
        <x:v>開放的で明るい。相談、再会、親密な会話に合う</x:v>
      </x:c>
      <x:c r="J132" s="49" t="str">
        <x:v>B1–B2</x:v>
      </x:c>
      <x:c r="K132" s="49" t="str">
        <x:v>ふつう</x:v>
      </x:c>
      <x:c r="L132" s="49" t="str">
        <x:v>2〜3文で自然に受け答え</x:v>
      </x:c>
      <x:c r="M132" s="49" t="str">
        <x:v>media boundaries and quick coordination</x:v>
      </x:c>
      <x:c r="N132" s="49" t="str">
        <x:v>one-to-one; contemporary pressure; relationship choice</x:v>
      </x:c>
      <x:c r="O132" s="49" t="str">
        <x:v>public-facing, creative, and emotionally charged</x:v>
      </x:c>
      <x:c r="P132" s="51" t="n">
        <x:v>10</x:v>
      </x:c>
      <x:c r="Q132" s="49" t="str">
        <x:v>agree on boundaries and emergency signals before going live</x:v>
      </x:c>
      <x:c r="R132" s="49" t="str">
        <x:v>the sponsor expects romantic chemistry neither of you promised</x:v>
      </x:c>
      <x:c r="S132" s="49" t="str">
        <x:v>Green</x:v>
      </x:c>
      <x:c r="T132" s="49" t="str">
        <x:v>IES_v7_02_SCENE_CARDS.md#C01</x:v>
      </x:c>
    </x:row>
    <x:row r="133" ht="44" customHeight="1">
      <x:c r="A133" s="49" t="str">
        <x:v>C02</x:v>
      </x:c>
      <x:c r="B133" s="49" t="str">
        <x:v>芸能・クリエイター</x:v>
      </x:c>
      <x:c r="C133" s="49" t="str">
        <x:v>The Lead Actor Walks</x:v>
      </x:c>
      <x:c r="D133" s="49" t="str">
        <x:v>主演俳優の降板宣言</x:v>
      </x:c>
      <x:c r="E133" s="49" t="str">
        <x:v>Present day; a theater dressing room on opening night. No supernatural rule is added.</x:v>
      </x:c>
      <x:c r="F133" s="49" t="str">
        <x:v>the director facing a sudden resignation</x:v>
      </x:c>
      <x:c r="G133" s="49" t="str">
        <x:v>Actress Clara Monroe, the lead performer</x:v>
      </x:c>
      <x:c r="H133" s="49" t="str">
        <x:v>Juniper</x:v>
      </x:c>
      <x:c r="I133" s="49" t="str">
        <x:v>開放的で明るい。相談、再会、親密な会話に合う</x:v>
      </x:c>
      <x:c r="J133" s="49" t="str">
        <x:v>B1–C1</x:v>
      </x:c>
      <x:c r="K133" s="49" t="str">
        <x:v>ふつう</x:v>
      </x:c>
      <x:c r="L133" s="49" t="str">
        <x:v>2〜3文で自然に受け答え</x:v>
      </x:c>
      <x:c r="M133" s="49" t="str">
        <x:v>crisis listening and alternatives</x:v>
      </x:c>
      <x:c r="N133" s="49" t="str">
        <x:v>one-to-one; contemporary pressure; relationship choice</x:v>
      </x:c>
      <x:c r="O133" s="49" t="str">
        <x:v>public-facing, creative, and emotionally charged</x:v>
      </x:c>
      <x:c r="P133" s="51" t="n">
        <x:v>12</x:v>
      </x:c>
      <x:c r="Q133" s="49" t="str">
        <x:v>understand her reason and negotiate a safe decision</x:v>
      </x:c>
      <x:c r="R133" s="49" t="str">
        <x:v>the audience is already seated</x:v>
      </x:c>
      <x:c r="S133" s="49" t="str">
        <x:v>Green</x:v>
      </x:c>
      <x:c r="T133" s="49" t="str">
        <x:v>IES_v7_02_SCENE_CARDS.md#C02</x:v>
      </x:c>
    </x:row>
    <x:row r="134" ht="44" customHeight="1">
      <x:c r="A134" s="49" t="str">
        <x:v>C03</x:v>
      </x:c>
      <x:c r="B134" s="49" t="str">
        <x:v>芸能・クリエイター</x:v>
      </x:c>
      <x:c r="C134" s="49" t="str">
        <x:v>The Photo Everyone Misread</x:v>
      </x:c>
      <x:c r="D134" s="49" t="str">
        <x:v>モデルの熱愛報道</x:v>
      </x:c>
      <x:c r="E134" s="49" t="str">
        <x:v>Present day; a fashion studio after a tabloid posts a misleading photo. No supernatural rule is added.</x:v>
      </x:c>
      <x:c r="F134" s="49" t="str">
        <x:v>the publicist handling the story</x:v>
      </x:c>
      <x:c r="G134" s="49" t="str">
        <x:v>Model Zoe Carter, your client and longtime friend</x:v>
      </x:c>
      <x:c r="H134" s="49" t="str">
        <x:v>Juniper</x:v>
      </x:c>
      <x:c r="I134" s="49" t="str">
        <x:v>開放的で明るい。相談、再会、親密な会話に合う</x:v>
      </x:c>
      <x:c r="J134" s="49" t="str">
        <x:v>B1–C1</x:v>
      </x:c>
      <x:c r="K134" s="49" t="str">
        <x:v>ふつう</x:v>
      </x:c>
      <x:c r="L134" s="49" t="str">
        <x:v>2〜3文で自然に受け答え</x:v>
      </x:c>
      <x:c r="M134" s="49" t="str">
        <x:v>media strategy and privacy boundaries</x:v>
      </x:c>
      <x:c r="N134" s="49" t="str">
        <x:v>one-to-one; contemporary pressure; relationship choice</x:v>
      </x:c>
      <x:c r="O134" s="49" t="str">
        <x:v>public-facing, creative, and emotionally charged</x:v>
      </x:c>
      <x:c r="P134" s="51" t="n">
        <x:v>12</x:v>
      </x:c>
      <x:c r="Q134" s="49" t="str">
        <x:v>decide whether to deny, clarify, or refuse comment</x:v>
      </x:c>
      <x:c r="R134" s="49" t="str">
        <x:v>the other person in the photo has not consented to publicity</x:v>
      </x:c>
      <x:c r="S134" s="49" t="str">
        <x:v>Green</x:v>
      </x:c>
      <x:c r="T134" s="49" t="str">
        <x:v>IES_v7_02_SCENE_CARDS.md#C03</x:v>
      </x:c>
    </x:row>
    <x:row r="135" ht="44" customHeight="1">
      <x:c r="A135" s="49" t="str">
        <x:v>C04</x:v>
      </x:c>
      <x:c r="B135" s="49" t="str">
        <x:v>芸能・クリエイター</x:v>
      </x:c>
      <x:c r="C135" s="49" t="str">
        <x:v>Working with Your Favorite Artist</x:v>
      </x:c>
      <x:c r="D135" s="49" t="str">
        <x:v>推しと仕事をする日</x:v>
      </x:c>
      <x:c r="E135" s="49" t="str">
        <x:v>Present day; a recording studio during a first collaboration. No supernatural rule is added.</x:v>
      </x:c>
      <x:c r="F135" s="49" t="str">
        <x:v>the producer trying to remain professional</x:v>
      </x:c>
      <x:c r="G135" s="49" t="str">
        <x:v>Singer Maya Lane, the artist you have admired for years</x:v>
      </x:c>
      <x:c r="H135" s="49" t="str">
        <x:v>Juniper</x:v>
      </x:c>
      <x:c r="I135" s="49" t="str">
        <x:v>開放的で明るい。相談、再会、親密な会話に合う</x:v>
      </x:c>
      <x:c r="J135" s="49" t="str">
        <x:v>B1–B2</x:v>
      </x:c>
      <x:c r="K135" s="49" t="str">
        <x:v>ふつう</x:v>
      </x:c>
      <x:c r="L135" s="49" t="str">
        <x:v>2〜3文で自然に受け答え</x:v>
      </x:c>
      <x:c r="M135" s="49" t="str">
        <x:v>constructive feedback and professional boundaries</x:v>
      </x:c>
      <x:c r="N135" s="49" t="str">
        <x:v>one-to-one; contemporary pressure; relationship choice</x:v>
      </x:c>
      <x:c r="O135" s="49" t="str">
        <x:v>public-facing, creative, and emotionally charged</x:v>
      </x:c>
      <x:c r="P135" s="51" t="n">
        <x:v>12</x:v>
      </x:c>
      <x:c r="Q135" s="49" t="str">
        <x:v>give honest creative feedback without becoming deferential</x:v>
      </x:c>
      <x:c r="R135" s="49" t="str">
        <x:v>Maya asks whether your praise is real or fan behavior</x:v>
      </x:c>
      <x:c r="S135" s="49" t="str">
        <x:v>Green</x:v>
      </x:c>
      <x:c r="T135" s="49" t="str">
        <x:v>IES_v7_02_SCENE_CARDS.md#C04</x:v>
      </x:c>
    </x:row>
    <x:row r="136" ht="44" customHeight="1">
      <x:c r="A136" s="49" t="str">
        <x:v>C05</x:v>
      </x:c>
      <x:c r="B136" s="49" t="str">
        <x:v>芸能・クリエイター</x:v>
      </x:c>
      <x:c r="C136" s="49" t="str">
        <x:v>Who Wrote the Ending?</x:v>
      </x:c>
      <x:c r="D136" s="49" t="str">
        <x:v>脚本のクレジット争い</x:v>
      </x:c>
      <x:c r="E136" s="49" t="str">
        <x:v>Present day; a writers' room after a hit episode airs. No supernatural rule is added.</x:v>
      </x:c>
      <x:c r="F136" s="49" t="str">
        <x:v>the junior writer whose idea was used without credit</x:v>
      </x:c>
      <x:c r="G136" s="49" t="str">
        <x:v>Showrunner Naomi Price, who approved the final script</x:v>
      </x:c>
      <x:c r="H136" s="49" t="str">
        <x:v>Juniper</x:v>
      </x:c>
      <x:c r="I136" s="49" t="str">
        <x:v>開放的で明るい。相談、再会、親密な会話に合う</x:v>
      </x:c>
      <x:c r="J136" s="49" t="str">
        <x:v>B2–C1</x:v>
      </x:c>
      <x:c r="K136" s="49" t="str">
        <x:v>しっかり</x:v>
      </x:c>
      <x:c r="L136" s="49" t="str">
        <x:v>理由説明や交渉まで</x:v>
      </x:c>
      <x:c r="M136" s="49" t="str">
        <x:v>assertive negotiation and attribution</x:v>
      </x:c>
      <x:c r="N136" s="49" t="str">
        <x:v>one-to-one; contemporary pressure; relationship choice</x:v>
      </x:c>
      <x:c r="O136" s="49" t="str">
        <x:v>public-facing, creative, and emotionally charged</x:v>
      </x:c>
      <x:c r="P136" s="51" t="n">
        <x:v>12</x:v>
      </x:c>
      <x:c r="Q136" s="49" t="str">
        <x:v>ask for correction and a future credit process</x:v>
      </x:c>
      <x:c r="R136" s="49" t="str">
        <x:v>awards submissions close tonight</x:v>
      </x:c>
      <x:c r="S136" s="49" t="str">
        <x:v>Green</x:v>
      </x:c>
      <x:c r="T136" s="49" t="str">
        <x:v>IES_v7_02_SCENE_CARDS.md#C05</x:v>
      </x:c>
    </x:row>
    <x:row r="137" ht="44" customHeight="1">
      <x:c r="A137" s="49" t="str">
        <x:v>C06</x:v>
      </x:c>
      <x:c r="B137" s="49" t="str">
        <x:v>芸能・クリエイター</x:v>
      </x:c>
      <x:c r="C137" s="49" t="str">
        <x:v>After the Hot Mic</x:v>
      </x:c>
      <x:c r="D137" s="49" t="str">
        <x:v>配信事故の直後</x:v>
      </x:c>
      <x:c r="E137" s="49" t="str">
        <x:v>Present day; a backstage room after a private remark went viral. No supernatural rule is added.</x:v>
      </x:c>
      <x:c r="F137" s="49" t="str">
        <x:v>the creator heard in the clip</x:v>
      </x:c>
      <x:c r="G137" s="49" t="str">
        <x:v>Streamer Lily Chen, the collaborator hurt by the remark</x:v>
      </x:c>
      <x:c r="H137" s="49" t="str">
        <x:v>Juniper</x:v>
      </x:c>
      <x:c r="I137" s="49" t="str">
        <x:v>開放的で明るい。相談、再会、親密な会話に合う</x:v>
      </x:c>
      <x:c r="J137" s="49" t="str">
        <x:v>B1–B2</x:v>
      </x:c>
      <x:c r="K137" s="49" t="str">
        <x:v>ふつう</x:v>
      </x:c>
      <x:c r="L137" s="49" t="str">
        <x:v>2〜3文で自然に受け答え</x:v>
      </x:c>
      <x:c r="M137" s="49" t="str">
        <x:v>public apology and private repair</x:v>
      </x:c>
      <x:c r="N137" s="49" t="str">
        <x:v>one-to-one; contemporary pressure; relationship choice</x:v>
      </x:c>
      <x:c r="O137" s="49" t="str">
        <x:v>public-facing, creative, and emotionally charged</x:v>
      </x:c>
      <x:c r="P137" s="51" t="n">
        <x:v>10</x:v>
      </x:c>
      <x:c r="Q137" s="49" t="str">
        <x:v>apologize and decide what to say publicly</x:v>
      </x:c>
      <x:c r="R137" s="49" t="str">
        <x:v>millions of viewers are forming conclusions from ten seconds</x:v>
      </x:c>
      <x:c r="S137" s="49" t="str">
        <x:v>Green</x:v>
      </x:c>
      <x:c r="T137" s="49" t="str">
        <x:v>IES_v7_02_SCENE_CARDS.md#C06</x:v>
      </x:c>
    </x:row>
    <x:row r="138" ht="44" customHeight="1">
      <x:c r="A138" s="49" t="str">
        <x:v>C07</x:v>
      </x:c>
      <x:c r="B138" s="49" t="str">
        <x:v>芸能・クリエイター</x:v>
      </x:c>
      <x:c r="C138" s="49" t="str">
        <x:v>The Hiatus Announcement</x:v>
      </x:c>
      <x:c r="D138" s="49" t="str">
        <x:v>アイドルの活動休止会見</x:v>
      </x:c>
      <x:c r="E138" s="49" t="str">
        <x:v>Present day; a rehearsal studio before a press conference. No supernatural rule is added.</x:v>
      </x:c>
      <x:c r="F138" s="49" t="str">
        <x:v>the manager preparing an artist for difficult questions</x:v>
      </x:c>
      <x:c r="G138" s="49" t="str">
        <x:v>Idol Hana Sato, exhausted and determined to pause work</x:v>
      </x:c>
      <x:c r="H138" s="49" t="str">
        <x:v>Juniper</x:v>
      </x:c>
      <x:c r="I138" s="49" t="str">
        <x:v>開放的で明るい。相談、再会、親密な会話に合う</x:v>
      </x:c>
      <x:c r="J138" s="49" t="str">
        <x:v>B1–C1</x:v>
      </x:c>
      <x:c r="K138" s="49" t="str">
        <x:v>ふつう</x:v>
      </x:c>
      <x:c r="L138" s="49" t="str">
        <x:v>2〜3文で自然に受け答え</x:v>
      </x:c>
      <x:c r="M138" s="49" t="str">
        <x:v>message design and boundary setting</x:v>
      </x:c>
      <x:c r="N138" s="49" t="str">
        <x:v>one-to-one; contemporary pressure; relationship choice</x:v>
      </x:c>
      <x:c r="O138" s="49" t="str">
        <x:v>public-facing, creative, and emotionally charged</x:v>
      </x:c>
      <x:c r="P138" s="51" t="n">
        <x:v>12</x:v>
      </x:c>
      <x:c r="Q138" s="49" t="str">
        <x:v>protect her privacy while making the announcement credible</x:v>
      </x:c>
      <x:c r="R138" s="49" t="str">
        <x:v>the agency wants a vague medical excuse Hana rejects</x:v>
      </x:c>
      <x:c r="S138" s="49" t="str">
        <x:v>Green</x:v>
      </x:c>
      <x:c r="T138" s="49" t="str">
        <x:v>IES_v7_02_SCENE_CARDS.md#C07</x:v>
      </x:c>
    </x:row>
    <x:row r="139" ht="44" customHeight="1">
      <x:c r="A139" s="49" t="str">
        <x:v>C08</x:v>
      </x:c>
      <x:c r="B139" s="49" t="str">
        <x:v>芸能・クリエイター</x:v>
      </x:c>
      <x:c r="C139" s="49" t="str">
        <x:v>The Contract Couple Renewal</x:v>
      </x:c>
      <x:c r="D139" s="49" t="str">
        <x:v>偽装カップル契約の更新</x:v>
      </x:c>
      <x:c r="E139" s="49" t="str">
        <x:v>Present day; a talent agency office after a successful publicity campaign. No supernatural rule is added.</x:v>
      </x:c>
      <x:c r="F139" s="49" t="str">
        <x:v>one performer in a staged celebrity relationship</x:v>
      </x:c>
      <x:c r="G139" s="49" t="str">
        <x:v>Actress Eva Brooks, your contract partner</x:v>
      </x:c>
      <x:c r="H139" s="49" t="str">
        <x:v>Juniper</x:v>
      </x:c>
      <x:c r="I139" s="49" t="str">
        <x:v>開放的で明るい。相談、再会、親密な会話に合う</x:v>
      </x:c>
      <x:c r="J139" s="49" t="str">
        <x:v>B1–C1</x:v>
      </x:c>
      <x:c r="K139" s="49" t="str">
        <x:v>ふつう</x:v>
      </x:c>
      <x:c r="L139" s="49" t="str">
        <x:v>2〜3文で自然に受け答え</x:v>
      </x:c>
      <x:c r="M139" s="49" t="str">
        <x:v>contract negotiation and emotional clarity</x:v>
      </x:c>
      <x:c r="N139" s="49" t="str">
        <x:v>one-to-one; contemporary pressure; relationship choice</x:v>
      </x:c>
      <x:c r="O139" s="49" t="str">
        <x:v>public-facing, creative, and emotionally charged</x:v>
      </x:c>
      <x:c r="P139" s="51" t="n">
        <x:v>15</x:v>
      </x:c>
      <x:c r="Q139" s="49" t="str">
        <x:v>decide whether to renew and separate public obligations from private feelings</x:v>
      </x:c>
      <x:c r="R139" s="49" t="str">
        <x:v>the agency assumes both of you have already agreed</x:v>
      </x:c>
      <x:c r="S139" s="49" t="str">
        <x:v>Green</x:v>
      </x:c>
      <x:c r="T139" s="49" t="str">
        <x:v>IES_v7_02_SCENE_CARDS.md#C08</x:v>
      </x:c>
    </x:row>
    <x:row r="140" ht="44" customHeight="1">
      <x:c r="A140" s="49" t="str">
        <x:v>C09</x:v>
      </x:c>
      <x:c r="B140" s="49" t="str">
        <x:v>芸能・クリエイター</x:v>
      </x:c>
      <x:c r="C140" s="49" t="str">
        <x:v>The Deleted Photograph</x:v>
      </x:c>
      <x:c r="D140" s="49" t="str">
        <x:v>写真家が消した一枚</x:v>
      </x:c>
      <x:c r="E140" s="49" t="str">
        <x:v>Present day; a gallery the night before an exhibition. No supernatural rule is added.</x:v>
      </x:c>
      <x:c r="F140" s="49" t="str">
        <x:v>the curator who discovers a missing centerpiece</x:v>
      </x:c>
      <x:c r="G140" s="49" t="str">
        <x:v>Photographer Mia Laurent, the artist who deleted her own work</x:v>
      </x:c>
      <x:c r="H140" s="49" t="str">
        <x:v>Juniper</x:v>
      </x:c>
      <x:c r="I140" s="49" t="str">
        <x:v>開放的で明るい。相談、再会、親密な会話に合う</x:v>
      </x:c>
      <x:c r="J140" s="49" t="str">
        <x:v>B1–C1</x:v>
      </x:c>
      <x:c r="K140" s="49" t="str">
        <x:v>ふつう</x:v>
      </x:c>
      <x:c r="L140" s="49" t="str">
        <x:v>2〜3文で自然に受け答え</x:v>
      </x:c>
      <x:c r="M140" s="49" t="str">
        <x:v>artistic intent and compromise</x:v>
      </x:c>
      <x:c r="N140" s="49" t="str">
        <x:v>one-to-one; contemporary pressure; relationship choice</x:v>
      </x:c>
      <x:c r="O140" s="49" t="str">
        <x:v>public-facing, creative, and emotionally charged</x:v>
      </x:c>
      <x:c r="P140" s="51" t="n">
        <x:v>12</x:v>
      </x:c>
      <x:c r="Q140" s="49" t="str">
        <x:v>understand the decision and redesign the exhibition without coercion</x:v>
      </x:c>
      <x:c r="R140" s="49" t="str">
        <x:v>the catalogue and press coverage center on that image</x:v>
      </x:c>
      <x:c r="S140" s="49" t="str">
        <x:v>Green</x:v>
      </x:c>
      <x:c r="T140" s="49" t="str">
        <x:v>IES_v7_02_SCENE_CARDS.md#C09</x:v>
      </x:c>
    </x:row>
    <x:row r="141" ht="44" customHeight="1">
      <x:c r="A141" s="49" t="str">
        <x:v>C10</x:v>
      </x:c>
      <x:c r="B141" s="49" t="str">
        <x:v>芸能・クリエイター</x:v>
      </x:c>
      <x:c r="C141" s="49" t="str">
        <x:v>One More Take</x:v>
      </x:c>
      <x:c r="D141" s="49" t="str">
        <x:v>声優オーディションの再挑戦</x:v>
      </x:c>
      <x:c r="E141" s="49" t="str">
        <x:v>Present day; a voice-recording booth after a failed audition take. No supernatural rule is added.</x:v>
      </x:c>
      <x:c r="F141" s="49" t="str">
        <x:v>the performer asking for one final attempt</x:v>
      </x:c>
      <x:c r="G141" s="49" t="str">
        <x:v>Director Sara Kim, deciding whether to continue</x:v>
      </x:c>
      <x:c r="H141" s="49" t="str">
        <x:v>Juniper</x:v>
      </x:c>
      <x:c r="I141" s="49" t="str">
        <x:v>開放的で明るい。相談、再会、親密な会話に合う</x:v>
      </x:c>
      <x:c r="J141" s="49" t="str">
        <x:v>A2–B2</x:v>
      </x:c>
      <x:c r="K141" s="49" t="str">
        <x:v>やさしい</x:v>
      </x:c>
      <x:c r="L141" s="49" t="str">
        <x:v>短い返事でOK。選択肢や言い換えあり</x:v>
      </x:c>
      <x:c r="M141" s="49" t="str">
        <x:v>feedback questions and concise self-advocacy</x:v>
      </x:c>
      <x:c r="N141" s="49" t="str">
        <x:v>one-to-one; contemporary pressure; relationship choice</x:v>
      </x:c>
      <x:c r="O141" s="49" t="str">
        <x:v>public-facing, creative, and emotionally charged</x:v>
      </x:c>
      <x:c r="P141" s="51" t="n">
        <x:v>8</x:v>
      </x:c>
      <x:c r="Q141" s="49" t="str">
        <x:v>identify what was wrong and request a specific adjustment</x:v>
      </x:c>
      <x:c r="R141" s="49" t="str">
        <x:v>the studio schedule allows only two more minutes</x:v>
      </x:c>
      <x:c r="S141" s="49" t="str">
        <x:v>Green</x:v>
      </x:c>
      <x:c r="T141" s="49" t="str">
        <x:v>IES_v7_02_SCENE_CARDS.md#C10</x:v>
      </x:c>
    </x:row>
    <x:row r="142" ht="44" customHeight="1">
      <x:c r="A142" s="49" t="str">
        <x:v>C11</x:v>
      </x:c>
      <x:c r="B142" s="49" t="str">
        <x:v>芸能・クリエイター</x:v>
      </x:c>
      <x:c r="C142" s="49" t="str">
        <x:v>The Comedy Duo Breakup</x:v>
      </x:c>
      <x:c r="D142" s="49" t="str">
        <x:v>コメディ相方の解散相談</x:v>
      </x:c>
      <x:c r="E142" s="49" t="str">
        <x:v>Present day; an empty club after a poorly received show. No supernatural rule is added.</x:v>
      </x:c>
      <x:c r="F142" s="49" t="str">
        <x:v>one member of a long-running comedy duo</x:v>
      </x:c>
      <x:c r="G142" s="49" t="str">
        <x:v>Comedian Jess Morgan, your stage partner</x:v>
      </x:c>
      <x:c r="H142" s="49" t="str">
        <x:v>Juniper</x:v>
      </x:c>
      <x:c r="I142" s="49" t="str">
        <x:v>開放的で明るい。相談、再会、親密な会話に合う</x:v>
      </x:c>
      <x:c r="J142" s="49" t="str">
        <x:v>B1–B2</x:v>
      </x:c>
      <x:c r="K142" s="49" t="str">
        <x:v>ふつう</x:v>
      </x:c>
      <x:c r="L142" s="49" t="str">
        <x:v>2〜3文で自然に受け答え</x:v>
      </x:c>
      <x:c r="M142" s="49" t="str">
        <x:v>difficult conversation and option framing</x:v>
      </x:c>
      <x:c r="N142" s="49" t="str">
        <x:v>one-to-one; contemporary pressure; relationship choice</x:v>
      </x:c>
      <x:c r="O142" s="49" t="str">
        <x:v>public-facing, creative, and emotionally charged</x:v>
      </x:c>
      <x:c r="P142" s="51" t="n">
        <x:v>12</x:v>
      </x:c>
      <x:c r="Q142" s="49" t="str">
        <x:v>discuss whether the act, the partnership, or only the format should end</x:v>
      </x:c>
      <x:c r="R142" s="49" t="str">
        <x:v>a major television audition is tomorrow</x:v>
      </x:c>
      <x:c r="S142" s="49" t="str">
        <x:v>Green</x:v>
      </x:c>
      <x:c r="T142" s="49" t="str">
        <x:v>IES_v7_02_SCENE_CARDS.md#C11</x:v>
      </x:c>
    </x:row>
    <x:row r="143" ht="44" customHeight="1">
      <x:c r="A143" s="49" t="str">
        <x:v>C12</x:v>
      </x:c>
      <x:c r="B143" s="49" t="str">
        <x:v>芸能・クリエイター</x:v>
      </x:c>
      <x:c r="C143" s="49" t="str">
        <x:v>The Anonymous Account</x:v>
      </x:c>
      <x:c r="D143" s="49" t="str">
        <x:v>ゲーム実況者の秘密アカウント</x:v>
      </x:c>
      <x:c r="E143" s="49" t="str">
        <x:v>Present day; a creator studio after an anonymous critic is identified. No supernatural rule is added.</x:v>
      </x:c>
      <x:c r="F143" s="49" t="str">
        <x:v>the channel owner who has been reading the posts</x:v>
      </x:c>
      <x:c r="G143" s="49" t="str">
        <x:v>Streamer Yuki Allen, your collaborator and the account's author</x:v>
      </x:c>
      <x:c r="H143" s="49" t="str">
        <x:v>Juniper</x:v>
      </x:c>
      <x:c r="I143" s="49" t="str">
        <x:v>開放的で明るい。相談、再会、親密な会話に合う</x:v>
      </x:c>
      <x:c r="J143" s="49" t="str">
        <x:v>B1–B2</x:v>
      </x:c>
      <x:c r="K143" s="49" t="str">
        <x:v>ふつう</x:v>
      </x:c>
      <x:c r="L143" s="49" t="str">
        <x:v>2〜3文で自然に受け答え</x:v>
      </x:c>
      <x:c r="M143" s="49" t="str">
        <x:v>confrontation and privacy negotiation</x:v>
      </x:c>
      <x:c r="N143" s="49" t="str">
        <x:v>one-to-one; contemporary pressure; relationship choice</x:v>
      </x:c>
      <x:c r="O143" s="49" t="str">
        <x:v>public-facing, creative, and emotionally charged</x:v>
      </x:c>
      <x:c r="P143" s="51" t="n">
        <x:v>12</x:v>
      </x:c>
      <x:c r="Q143" s="49" t="str">
        <x:v>confront the criticism and decide what remains private</x:v>
      </x:c>
      <x:c r="R143" s="49" t="str">
        <x:v>screenshots may become public within an hour</x:v>
      </x:c>
      <x:c r="S143" s="49" t="str">
        <x:v>Green</x:v>
      </x:c>
      <x:c r="T143" s="49" t="str">
        <x:v>IES_v7_02_SCENE_CARDS.md#C12</x:v>
      </x:c>
    </x:row>
    <x:row r="144" ht="44" customHeight="1">
      <x:c r="A144" s="49" t="str">
        <x:v>C13</x:v>
      </x:c>
      <x:c r="B144" s="49" t="str">
        <x:v>芸能・クリエイター</x:v>
      </x:c>
      <x:c r="C144" s="49" t="str">
        <x:v>The Author Rejects the Ending</x:v>
      </x:c>
      <x:c r="D144" s="49" t="str">
        <x:v>小説家の結末拒否</x:v>
      </x:c>
      <x:c r="E144" s="49" t="str">
        <x:v>Present day; a publisher's office before final printing. No supernatural rule is added.</x:v>
      </x:c>
      <x:c r="F144" s="49" t="str">
        <x:v>the editor responsible for delivering the manuscript</x:v>
      </x:c>
      <x:c r="G144" s="49" t="str">
        <x:v>Novelist Nora Wells, who wants to replace the ending overnight</x:v>
      </x:c>
      <x:c r="H144" s="49" t="str">
        <x:v>Juniper</x:v>
      </x:c>
      <x:c r="I144" s="49" t="str">
        <x:v>開放的で明るい。相談、再会、親密な会話に合う</x:v>
      </x:c>
      <x:c r="J144" s="49" t="str">
        <x:v>B2–C1</x:v>
      </x:c>
      <x:c r="K144" s="49" t="str">
        <x:v>しっかり</x:v>
      </x:c>
      <x:c r="L144" s="49" t="str">
        <x:v>理由説明や交渉まで</x:v>
      </x:c>
      <x:c r="M144" s="49" t="str">
        <x:v>editorial feedback and deadline negotiation</x:v>
      </x:c>
      <x:c r="N144" s="49" t="str">
        <x:v>one-to-one; contemporary pressure; relationship choice</x:v>
      </x:c>
      <x:c r="O144" s="49" t="str">
        <x:v>public-facing, creative, and emotionally charged</x:v>
      </x:c>
      <x:c r="P144" s="51" t="n">
        <x:v>12</x:v>
      </x:c>
      <x:c r="Q144" s="49" t="str">
        <x:v>test the new ending and negotiate what can still change</x:v>
      </x:c>
      <x:c r="R144" s="49" t="str">
        <x:v>printing plates are prepared at dawn</x:v>
      </x:c>
      <x:c r="S144" s="49" t="str">
        <x:v>Green</x:v>
      </x:c>
      <x:c r="T144" s="49" t="str">
        <x:v>IES_v7_02_SCENE_CARDS.md#C13</x:v>
      </x:c>
    </x:row>
    <x:row r="145" ht="44" customHeight="1">
      <x:c r="A145" s="49" t="str">
        <x:v>C14</x:v>
      </x:c>
      <x:c r="B145" s="49" t="str">
        <x:v>芸能・クリエイター</x:v>
      </x:c>
      <x:c r="C145" s="49" t="str">
        <x:v>The Festival Headliner Dispute</x:v>
      </x:c>
      <x:c r="D145" s="49" t="str">
        <x:v>音楽フェスの出演順</x:v>
      </x:c>
      <x:c r="E145" s="49" t="str">
        <x:v>Present day; a festival production trailer during soundcheck. No supernatural rule is added.</x:v>
      </x:c>
      <x:c r="F145" s="49" t="str">
        <x:v>the stage producer managing a schedule conflict</x:v>
      </x:c>
      <x:c r="G145" s="49" t="str">
        <x:v>Singer Amira Cole, whose team demands a later slot</x:v>
      </x:c>
      <x:c r="H145" s="49" t="str">
        <x:v>Juniper</x:v>
      </x:c>
      <x:c r="I145" s="49" t="str">
        <x:v>開放的で明るい。相談、再会、親密な会話に合う</x:v>
      </x:c>
      <x:c r="J145" s="49" t="str">
        <x:v>B1–B2</x:v>
      </x:c>
      <x:c r="K145" s="49" t="str">
        <x:v>ふつう</x:v>
      </x:c>
      <x:c r="L145" s="49" t="str">
        <x:v>2〜3文で自然に受け答え</x:v>
      </x:c>
      <x:c r="M145" s="49" t="str">
        <x:v>event negotiation and contingency planning</x:v>
      </x:c>
      <x:c r="N145" s="49" t="str">
        <x:v>one-to-one; contemporary pressure; relationship choice</x:v>
      </x:c>
      <x:c r="O145" s="49" t="str">
        <x:v>public-facing, creative, and emotionally charged</x:v>
      </x:c>
      <x:c r="P145" s="51" t="n">
        <x:v>12</x:v>
      </x:c>
      <x:c r="Q145" s="49" t="str">
        <x:v>protect the event schedule while addressing a legitimate technical need</x:v>
      </x:c>
      <x:c r="R145" s="49" t="str">
        <x:v>weather may force the final act to be canceled</x:v>
      </x:c>
      <x:c r="S145" s="49" t="str">
        <x:v>Green</x:v>
      </x:c>
      <x:c r="T145" s="49" t="str">
        <x:v>IES_v7_02_SCENE_CARDS.md#C14</x:v>
      </x:c>
    </x:row>
    <x:row r="146" ht="44" customHeight="1">
      <x:c r="A146" s="49" t="str">
        <x:v>C15</x:v>
      </x:c>
      <x:c r="B146" s="49" t="str">
        <x:v>芸能・クリエイター</x:v>
      </x:c>
      <x:c r="C146" s="49" t="str">
        <x:v>The Recipe Backlash</x:v>
      </x:c>
      <x:c r="D146" s="49" t="str">
        <x:v>炎上した料理動画</x:v>
      </x:c>
      <x:c r="E146" s="49" t="str">
        <x:v>Present day; a food creator's kitchen studio after a cultural criticism goes viral. No supernatural rule is added.</x:v>
      </x:c>
      <x:c r="F146" s="49" t="str">
        <x:v>the producer reviewing the video</x:v>
      </x:c>
      <x:c r="G146" s="49" t="str">
        <x:v>Chef Elena Ruiz, the creator defending her intent</x:v>
      </x:c>
      <x:c r="H146" s="49" t="str">
        <x:v>Juniper</x:v>
      </x:c>
      <x:c r="I146" s="49" t="str">
        <x:v>開放的で明るい。相談、再会、親密な会話に合う</x:v>
      </x:c>
      <x:c r="J146" s="49" t="str">
        <x:v>B1–C1</x:v>
      </x:c>
      <x:c r="K146" s="49" t="str">
        <x:v>ふつう</x:v>
      </x:c>
      <x:c r="L146" s="49" t="str">
        <x:v>2〜3文で自然に受け答え</x:v>
      </x:c>
      <x:c r="M146" s="49" t="str">
        <x:v>listening, accountability, and public response</x:v>
      </x:c>
      <x:c r="N146" s="49" t="str">
        <x:v>one-to-one; contemporary pressure; relationship choice</x:v>
      </x:c>
      <x:c r="O146" s="49" t="str">
        <x:v>public-facing, creative, and emotionally charged</x:v>
      </x:c>
      <x:c r="P146" s="51" t="n">
        <x:v>12</x:v>
      </x:c>
      <x:c r="Q146" s="49" t="str">
        <x:v>separate valid criticism from abuse and plan a response</x:v>
      </x:c>
      <x:c r="R146" s="49" t="str">
        <x:v>sponsors want the video deleted immediately</x:v>
      </x:c>
      <x:c r="S146" s="49" t="str">
        <x:v>Green</x:v>
      </x:c>
      <x:c r="T146" s="49" t="str">
        <x:v>IES_v7_02_SCENE_CARDS.md#C15</x:v>
      </x:c>
    </x:row>
    <x:row r="147" ht="44" customHeight="1">
      <x:c r="A147" s="49" t="str">
        <x:v>C16</x:v>
      </x:c>
      <x:c r="B147" s="49" t="str">
        <x:v>芸能・クリエイター</x:v>
      </x:c>
      <x:c r="C147" s="49" t="str">
        <x:v>The Camera Must Stop</x:v>
      </x:c>
      <x:c r="D147" s="49" t="str">
        <x:v>ドキュメンタリーの撮影拒否</x:v>
      </x:c>
      <x:c r="E147" s="49" t="str">
        <x:v>Present day; a documentary location during an emotionally intense interview. No supernatural rule is added.</x:v>
      </x:c>
      <x:c r="F147" s="49" t="str">
        <x:v>the producer responsible for consent</x:v>
      </x:c>
      <x:c r="G147" s="49" t="str">
        <x:v>Filmmaker Talia Green, who believes the footage is essential</x:v>
      </x:c>
      <x:c r="H147" s="49" t="str">
        <x:v>Juniper</x:v>
      </x:c>
      <x:c r="I147" s="49" t="str">
        <x:v>開放的で明るい。相談、再会、親密な会話に合う</x:v>
      </x:c>
      <x:c r="J147" s="49" t="str">
        <x:v>B2–C1</x:v>
      </x:c>
      <x:c r="K147" s="49" t="str">
        <x:v>しっかり</x:v>
      </x:c>
      <x:c r="L147" s="49" t="str">
        <x:v>理由説明や交渉まで</x:v>
      </x:c>
      <x:c r="M147" s="49" t="str">
        <x:v>ethical disagreement and consent language</x:v>
      </x:c>
      <x:c r="N147" s="49" t="str">
        <x:v>one-to-one; contemporary pressure; relationship choice</x:v>
      </x:c>
      <x:c r="O147" s="49" t="str">
        <x:v>public-facing, creative, and emotionally charged</x:v>
      </x:c>
      <x:c r="P147" s="51" t="n">
        <x:v>15</x:v>
      </x:c>
      <x:c r="Q147" s="49" t="str">
        <x:v>decide whether consent remains valid and what can be used</x:v>
      </x:c>
      <x:c r="R147" s="49" t="str">
        <x:v>the subject has just asked to stop after revealing key evidence</x:v>
      </x:c>
      <x:c r="S147" s="49" t="str">
        <x:v>Green</x:v>
      </x:c>
      <x:c r="T147" s="49" t="str">
        <x:v>IES_v7_02_SCENE_CARDS.md#C16</x:v>
      </x:c>
    </x:row>
    <x:row r="148" ht="44" customHeight="1">
      <x:c r="A148" s="49" t="str">
        <x:v>C17</x:v>
      </x:c>
      <x:c r="B148" s="49" t="str">
        <x:v>芸能・クリエイター</x:v>
      </x:c>
      <x:c r="C148" s="49" t="str">
        <x:v>Who Stands in the Center?</x:v>
      </x:c>
      <x:c r="D148" s="49" t="str">
        <x:v>新人バンドのセンター争い</x:v>
      </x:c>
      <x:c r="E148" s="49" t="str">
        <x:v>Present day; a rehearsal room before the band's first showcase. No supernatural rule is added.</x:v>
      </x:c>
      <x:c r="F148" s="49" t="str">
        <x:v>the band member asked to mediate</x:v>
      </x:c>
      <x:c r="G148" s="49" t="str">
        <x:v>Vocalist Chloe Hart, convinced she was promised the center position</x:v>
      </x:c>
      <x:c r="H148" s="49" t="str">
        <x:v>Juniper</x:v>
      </x:c>
      <x:c r="I148" s="49" t="str">
        <x:v>開放的で明るい。相談、再会、親密な会話に合う</x:v>
      </x:c>
      <x:c r="J148" s="49" t="str">
        <x:v>B1–B2</x:v>
      </x:c>
      <x:c r="K148" s="49" t="str">
        <x:v>ふつう</x:v>
      </x:c>
      <x:c r="L148" s="49" t="str">
        <x:v>2〜3文で自然に受け答え</x:v>
      </x:c>
      <x:c r="M148" s="49" t="str">
        <x:v>creative conflict and compromise</x:v>
      </x:c>
      <x:c r="N148" s="49" t="str">
        <x:v>one-to-one; contemporary pressure; relationship choice</x:v>
      </x:c>
      <x:c r="O148" s="49" t="str">
        <x:v>public-facing, creative, and emotionally charged</x:v>
      </x:c>
      <x:c r="P148" s="51" t="n">
        <x:v>10</x:v>
      </x:c>
      <x:c r="Q148" s="49" t="str">
        <x:v>clarify expectations and agree on a performance decision</x:v>
      </x:c>
      <x:c r="R148" s="49" t="str">
        <x:v>the photographer arrives in twenty minutes</x:v>
      </x:c>
      <x:c r="S148" s="49" t="str">
        <x:v>Green</x:v>
      </x:c>
      <x:c r="T148" s="49" t="str">
        <x:v>IES_v7_02_SCENE_CARDS.md#C17</x:v>
      </x:c>
    </x:row>
    <x:row r="149" ht="44" customHeight="1">
      <x:c r="A149" s="49" t="str">
        <x:v>C18</x:v>
      </x:c>
      <x:c r="B149" s="49" t="str">
        <x:v>芸能・クリエイター</x:v>
      </x:c>
      <x:c r="C149" s="49" t="str">
        <x:v>The Letter from Before Fame</x:v>
      </x:c>
      <x:c r="D149" s="49" t="str">
        <x:v>ファンレターの送り主</x:v>
      </x:c>
      <x:c r="E149" s="49" t="str">
        <x:v>Present day; a quiet studio after an old fan letter resurfaces. No supernatural rule is added.</x:v>
      </x:c>
      <x:c r="F149" s="49" t="str">
        <x:v>the celebrity who recognizes the handwriting</x:v>
      </x:c>
      <x:c r="G149" s="49" t="str">
        <x:v>Actress Nina Park, who believes you wrote it years ago</x:v>
      </x:c>
      <x:c r="H149" s="49" t="str">
        <x:v>Juniper</x:v>
      </x:c>
      <x:c r="I149" s="49" t="str">
        <x:v>開放的で明るい。相談、再会、親密な会話に合う</x:v>
      </x:c>
      <x:c r="J149" s="49" t="str">
        <x:v>B1–B2</x:v>
      </x:c>
      <x:c r="K149" s="49" t="str">
        <x:v>ふつう</x:v>
      </x:c>
      <x:c r="L149" s="49" t="str">
        <x:v>2〜3文で自然に受け答え</x:v>
      </x:c>
      <x:c r="M149" s="49" t="str">
        <x:v>past narration and present boundaries</x:v>
      </x:c>
      <x:c r="N149" s="49" t="str">
        <x:v>one-to-one; contemporary pressure; relationship choice</x:v>
      </x:c>
      <x:c r="O149" s="49" t="str">
        <x:v>public-facing, creative, and emotionally charged</x:v>
      </x:c>
      <x:c r="P149" s="51" t="n">
        <x:v>12</x:v>
      </x:c>
      <x:c r="Q149" s="49" t="str">
        <x:v>confirm the history and decide what it means now</x:v>
      </x:c>
      <x:c r="R149" s="49" t="str">
        <x:v>a documentary crew wants to film the discovery</x:v>
      </x:c>
      <x:c r="S149" s="49" t="str">
        <x:v>Green</x:v>
      </x:c>
      <x:c r="T149" s="49" t="str">
        <x:v>IES_v7_02_SCENE_CARDS.md#C18</x:v>
      </x:c>
    </x:row>
    <x:row r="150" ht="44" customHeight="1">
      <x:c r="A150" s="49" t="str">
        <x:v>C19</x:v>
      </x:c>
      <x:c r="B150" s="49" t="str">
        <x:v>芸能・クリエイター</x:v>
      </x:c>
      <x:c r="C150" s="49" t="str">
        <x:v>The Sponsor's Script</x:v>
      </x:c>
      <x:c r="D150" s="49" t="str">
        <x:v>スポンサーの台本を拒む</x:v>
      </x:c>
      <x:c r="E150" s="49" t="str">
        <x:v>Present day; a podcast studio before a live ad read. No supernatural rule is added.</x:v>
      </x:c>
      <x:c r="F150" s="49" t="str">
        <x:v>the host unwilling to make a misleading claim</x:v>
      </x:c>
      <x:c r="G150" s="49" t="str">
        <x:v>Producer Ava Mitchell, accountable for the sponsorship contract</x:v>
      </x:c>
      <x:c r="H150" s="49" t="str">
        <x:v>Juniper</x:v>
      </x:c>
      <x:c r="I150" s="49" t="str">
        <x:v>開放的で明るい。相談、再会、親密な会話に合う</x:v>
      </x:c>
      <x:c r="J150" s="49" t="str">
        <x:v>B1–C1</x:v>
      </x:c>
      <x:c r="K150" s="49" t="str">
        <x:v>ふつう</x:v>
      </x:c>
      <x:c r="L150" s="49" t="str">
        <x:v>2〜3文で自然に受け答え</x:v>
      </x:c>
      <x:c r="M150" s="49" t="str">
        <x:v>ethical persuasion and precise wording</x:v>
      </x:c>
      <x:c r="N150" s="49" t="str">
        <x:v>one-to-one; contemporary pressure; relationship choice</x:v>
      </x:c>
      <x:c r="O150" s="49" t="str">
        <x:v>public-facing, creative, and emotionally charged</x:v>
      </x:c>
      <x:c r="P150" s="51" t="n">
        <x:v>10</x:v>
      </x:c>
      <x:c r="Q150" s="49" t="str">
        <x:v>rewrite the message without breaking trust or the contract</x:v>
      </x:c>
      <x:c r="R150" s="49" t="str">
        <x:v>the live show starts in six minutes</x:v>
      </x:c>
      <x:c r="S150" s="49" t="str">
        <x:v>Green</x:v>
      </x:c>
      <x:c r="T150" s="49" t="str">
        <x:v>IES_v7_02_SCENE_CARDS.md#C19</x:v>
      </x:c>
    </x:row>
    <x:row r="151" ht="44" customHeight="1">
      <x:c r="A151" s="49" t="str">
        <x:v>C20</x:v>
      </x:c>
      <x:c r="B151" s="49" t="str">
        <x:v>芸能・クリエイター</x:v>
      </x:c>
      <x:c r="C151" s="49" t="str">
        <x:v>The Comeback Rehearsal</x:v>
      </x:c>
      <x:c r="D151" s="49" t="str">
        <x:v>ダンサーの復帰公演</x:v>
      </x:c>
      <x:c r="E151" s="49" t="str">
        <x:v>Present day; a dance studio after an injury-related absence. No supernatural rule is added.</x:v>
      </x:c>
      <x:c r="F151" s="49" t="str">
        <x:v>the choreographer assessing a return</x:v>
      </x:c>
      <x:c r="G151" s="49" t="str">
        <x:v>Dancer Sofia Vale, determined to perform the hardest section</x:v>
      </x:c>
      <x:c r="H151" s="49" t="str">
        <x:v>Juniper</x:v>
      </x:c>
      <x:c r="I151" s="49" t="str">
        <x:v>開放的で明るい。相談、再会、親密な会話に合う</x:v>
      </x:c>
      <x:c r="J151" s="49" t="str">
        <x:v>B1–B2</x:v>
      </x:c>
      <x:c r="K151" s="49" t="str">
        <x:v>ふつう</x:v>
      </x:c>
      <x:c r="L151" s="49" t="str">
        <x:v>2〜3文で自然に受け答え</x:v>
      </x:c>
      <x:c r="M151" s="49" t="str">
        <x:v>feedback, limits, and phased planning</x:v>
      </x:c>
      <x:c r="N151" s="49" t="str">
        <x:v>one-to-one; contemporary pressure; relationship choice</x:v>
      </x:c>
      <x:c r="O151" s="49" t="str">
        <x:v>public-facing, creative, and emotionally charged</x:v>
      </x:c>
      <x:c r="P151" s="51" t="n">
        <x:v>12</x:v>
      </x:c>
      <x:c r="Q151" s="49" t="str">
        <x:v>set a safe plan without humiliating her</x:v>
      </x:c>
      <x:c r="R151" s="49" t="str">
        <x:v>the understudy decision is due tonight</x:v>
      </x:c>
      <x:c r="S151" s="49" t="str">
        <x:v>Green</x:v>
      </x:c>
      <x:c r="T151" s="49" t="str">
        <x:v>IES_v7_02_SCENE_CARDS.md#C20</x:v>
      </x:c>
    </x:row>
    <x:row r="152" ht="44" customHeight="1">
      <x:c r="A152" s="49" t="str">
        <x:v>C21</x:v>
      </x:c>
      <x:c r="B152" s="49" t="str">
        <x:v>芸能・クリエイター</x:v>
      </x:c>
      <x:c r="C152" s="49" t="str">
        <x:v>Splitting the Channel</x:v>
      </x:c>
      <x:c r="D152" s="49" t="str">
        <x:v>共同チャンネルの収益分配</x:v>
      </x:c>
      <x:c r="E152" s="49" t="str">
        <x:v>Present day; a creator agency conference room. No supernatural rule is added.</x:v>
      </x:c>
      <x:c r="F152" s="49" t="str">
        <x:v>one owner of a fast-growing joint channel</x:v>
      </x:c>
      <x:c r="G152" s="49" t="str">
        <x:v>Creator Priya James, your on-screen partner</x:v>
      </x:c>
      <x:c r="H152" s="49" t="str">
        <x:v>Juniper</x:v>
      </x:c>
      <x:c r="I152" s="49" t="str">
        <x:v>開放的で明るい。相談、再会、親密な会話に合う</x:v>
      </x:c>
      <x:c r="J152" s="49" t="str">
        <x:v>B2–C1</x:v>
      </x:c>
      <x:c r="K152" s="49" t="str">
        <x:v>しっかり</x:v>
      </x:c>
      <x:c r="L152" s="49" t="str">
        <x:v>理由説明や交渉まで</x:v>
      </x:c>
      <x:c r="M152" s="49" t="str">
        <x:v>business negotiation and relationship boundaries</x:v>
      </x:c>
      <x:c r="N152" s="49" t="str">
        <x:v>one-to-one; contemporary pressure; relationship choice</x:v>
      </x:c>
      <x:c r="O152" s="49" t="str">
        <x:v>public-facing, creative, and emotionally charged</x:v>
      </x:c>
      <x:c r="P152" s="51" t="n">
        <x:v>15</x:v>
      </x:c>
      <x:c r="Q152" s="49" t="str">
        <x:v>negotiate pay, ownership, and access to old content</x:v>
      </x:c>
      <x:c r="R152" s="49" t="str">
        <x:v>a buyout offer expires today</x:v>
      </x:c>
      <x:c r="S152" s="49" t="str">
        <x:v>Green</x:v>
      </x:c>
      <x:c r="T152" s="49" t="str">
        <x:v>IES_v7_02_SCENE_CARDS.md#C21</x:v>
      </x:c>
    </x:row>
    <x:row r="153" ht="44" customHeight="1">
      <x:c r="A153" s="49" t="str">
        <x:v>C22</x:v>
      </x:c>
      <x:c r="B153" s="49" t="str">
        <x:v>芸能・クリエイター</x:v>
      </x:c>
      <x:c r="C153" s="49" t="str">
        <x:v>The Festival Reunion</x:v>
      </x:c>
      <x:c r="D153" s="49" t="str">
        <x:v>映画祭で元相棒と再会</x:v>
      </x:c>
      <x:c r="E153" s="49" t="str">
        <x:v>Present day; a film-festival lounge after years without contact. No supernatural rule is added.</x:v>
      </x:c>
      <x:c r="F153" s="49" t="str">
        <x:v>the filmmaker whose first collaborator is now a competitor</x:v>
      </x:c>
      <x:c r="G153" s="49" t="str">
        <x:v>Director Leila Stone, your former creative partner</x:v>
      </x:c>
      <x:c r="H153" s="49" t="str">
        <x:v>Juniper</x:v>
      </x:c>
      <x:c r="I153" s="49" t="str">
        <x:v>開放的で明るい。相談、再会、親密な会話に合う</x:v>
      </x:c>
      <x:c r="J153" s="49" t="str">
        <x:v>B2–C1</x:v>
      </x:c>
      <x:c r="K153" s="49" t="str">
        <x:v>しっかり</x:v>
      </x:c>
      <x:c r="L153" s="49" t="str">
        <x:v>理由説明や交渉まで</x:v>
      </x:c>
      <x:c r="M153" s="49" t="str">
        <x:v>reunion, accountability, and proposal</x:v>
      </x:c>
      <x:c r="N153" s="49" t="str">
        <x:v>one-to-one; contemporary pressure; relationship choice</x:v>
      </x:c>
      <x:c r="O153" s="49" t="str">
        <x:v>public-facing, creative, and emotionally charged</x:v>
      </x:c>
      <x:c r="P153" s="51" t="n">
        <x:v>15</x:v>
      </x:c>
      <x:c r="Q153" s="49" t="str">
        <x:v>discuss the breakup of the partnership and a possible new project</x:v>
      </x:c>
      <x:c r="R153" s="49" t="str">
        <x:v>both of your films compete for the same award tonight</x:v>
      </x:c>
      <x:c r="S153" s="49" t="str">
        <x:v>Green</x:v>
      </x:c>
      <x:c r="T153" s="49" t="str">
        <x:v>IES_v7_02_SCENE_CARDS.md#C22</x:v>
      </x:c>
    </x:row>
    <x:row r="154" ht="44" customHeight="1">
      <x:c r="A154" s="49" t="str">
        <x:v>S01</x:v>
      </x:c>
      <x:c r="B154" s="49" t="str">
        <x:v>接客・サービス</x:v>
      </x:c>
      <x:c r="C154" s="49" t="str">
        <x:v>After the Restaurant Closes</x:v>
      </x:c>
      <x:c r="D154" s="49" t="str">
        <x:v>閉店後のレストラン交渉</x:v>
      </x:c>
      <x:c r="E154" s="49" t="str">
        <x:v>Present day; a restaurant dining room after the last guest leaves. No supernatural rule is added.</x:v>
      </x:c>
      <x:c r="F154" s="49" t="str">
        <x:v>the floor manager handling a serious complaint</x:v>
      </x:c>
      <x:c r="G154" s="49" t="str">
        <x:v>Chef Maria Bell, the owner who cooked the disputed meal</x:v>
      </x:c>
      <x:c r="H154" s="49" t="str">
        <x:v>Maple</x:v>
      </x:c>
      <x:c r="I154" s="49" t="str">
        <x:v>朗らかで率直。軽快、日常、サービス場面に合う</x:v>
      </x:c>
      <x:c r="J154" s="49" t="str">
        <x:v>B1–B2</x:v>
      </x:c>
      <x:c r="K154" s="49" t="str">
        <x:v>ふつう</x:v>
      </x:c>
      <x:c r="L154" s="49" t="str">
        <x:v>2〜3文で自然に受け答え</x:v>
      </x:c>
      <x:c r="M154" s="49" t="str">
        <x:v>complaint handling and remedy negotiation</x:v>
      </x:c>
      <x:c r="N154" s="49" t="str">
        <x:v>one-to-one; contemporary pressure; relationship choice</x:v>
      </x:c>
      <x:c r="O154" s="49" t="str">
        <x:v>practical, courteous, and time-sensitive</x:v>
      </x:c>
      <x:c r="P154" s="51" t="n">
        <x:v>10</x:v>
      </x:c>
      <x:c r="Q154" s="49" t="str">
        <x:v>agree on a fair remedy without undermining staff or dismissing the guest</x:v>
      </x:c>
      <x:c r="R154" s="49" t="str">
        <x:v>a public review is already being drafted</x:v>
      </x:c>
      <x:c r="S154" s="49" t="str">
        <x:v>Green</x:v>
      </x:c>
      <x:c r="T154" s="49" t="str">
        <x:v>IES_v7_02_SCENE_CARDS.md#S01</x:v>
      </x:c>
    </x:row>
    <x:row r="155" ht="44" customHeight="1">
      <x:c r="A155" s="49" t="str">
        <x:v>S02</x:v>
      </x:c>
      <x:c r="B155" s="49" t="str">
        <x:v>接客・サービス</x:v>
      </x:c>
      <x:c r="C155" s="49" t="str">
        <x:v>The Double-Booked Suite</x:v>
      </x:c>
      <x:c r="D155" s="49" t="str">
        <x:v>ホテルの部屋が二重予約</x:v>
      </x:c>
      <x:c r="E155" s="49" t="str">
        <x:v>Present day; a hotel lobby during a sold-out convention. No supernatural rule is added.</x:v>
      </x:c>
      <x:c r="F155" s="49" t="str">
        <x:v>the front-desk supervisor solving a booking conflict</x:v>
      </x:c>
      <x:c r="G155" s="49" t="str">
        <x:v>Guest Olivia Grant, whose confirmed room is occupied</x:v>
      </x:c>
      <x:c r="H155" s="49" t="str">
        <x:v>Maple</x:v>
      </x:c>
      <x:c r="I155" s="49" t="str">
        <x:v>朗らかで率直。軽快、日常、サービス場面に合う</x:v>
      </x:c>
      <x:c r="J155" s="49" t="str">
        <x:v>A2–B2</x:v>
      </x:c>
      <x:c r="K155" s="49" t="str">
        <x:v>やさしい</x:v>
      </x:c>
      <x:c r="L155" s="49" t="str">
        <x:v>短い返事でOK。選択肢や言い換えあり</x:v>
      </x:c>
      <x:c r="M155" s="49" t="str">
        <x:v>service recovery and options</x:v>
      </x:c>
      <x:c r="N155" s="49" t="str">
        <x:v>one-to-one; contemporary pressure; relationship choice</x:v>
      </x:c>
      <x:c r="O155" s="49" t="str">
        <x:v>practical, courteous, and time-sensitive</x:v>
      </x:c>
      <x:c r="P155" s="51" t="n">
        <x:v>10</x:v>
      </x:c>
      <x:c r="Q155" s="49" t="str">
        <x:v>verify the mistake and offer realistic alternatives</x:v>
      </x:c>
      <x:c r="R155" s="49" t="str">
        <x:v>every nearby hotel is also full</x:v>
      </x:c>
      <x:c r="S155" s="49" t="str">
        <x:v>Green</x:v>
      </x:c>
      <x:c r="T155" s="49" t="str">
        <x:v>IES_v7_02_SCENE_CARDS.md#S02</x:v>
      </x:c>
    </x:row>
    <x:row r="156" ht="44" customHeight="1">
      <x:c r="A156" s="49" t="str">
        <x:v>S03</x:v>
      </x:c>
      <x:c r="B156" s="49" t="str">
        <x:v>接客・サービス</x:v>
      </x:c>
      <x:c r="C156" s="49" t="str">
        <x:v>The Last Customer at the Cat Cafe</x:v>
      </x:c>
      <x:c r="D156" s="49" t="str">
        <x:v>猫カフェ最後の常連客</x:v>
      </x:c>
      <x:c r="E156" s="49" t="str">
        <x:v>Present day; a neighborhood cat cafe at closing time. No supernatural rule is added.</x:v>
      </x:c>
      <x:c r="F156" s="49" t="str">
        <x:v>the staff member responsible for closing</x:v>
      </x:c>
      <x:c r="G156" s="49" t="str">
        <x:v>Rachel Moore, a regular who seems reluctant to leave</x:v>
      </x:c>
      <x:c r="H156" s="49" t="str">
        <x:v>Maple</x:v>
      </x:c>
      <x:c r="I156" s="49" t="str">
        <x:v>朗らかで率直。軽快、日常、サービス場面に合う</x:v>
      </x:c>
      <x:c r="J156" s="49" t="str">
        <x:v>A2–B1</x:v>
      </x:c>
      <x:c r="K156" s="49" t="str">
        <x:v>やさしい</x:v>
      </x:c>
      <x:c r="L156" s="49" t="str">
        <x:v>短い返事でOK。選択肢や言い換えあり</x:v>
      </x:c>
      <x:c r="M156" s="49" t="str">
        <x:v>tactful boundary setting and offers</x:v>
      </x:c>
      <x:c r="N156" s="49" t="str">
        <x:v>one-to-one; contemporary pressure; relationship choice</x:v>
      </x:c>
      <x:c r="O156" s="49" t="str">
        <x:v>practical, courteous, and time-sensitive</x:v>
      </x:c>
      <x:c r="P156" s="51" t="n">
        <x:v>10</x:v>
      </x:c>
      <x:c r="Q156" s="49" t="str">
        <x:v>address the closing time while checking whether she needs practical help</x:v>
      </x:c>
      <x:c r="R156" s="49" t="str">
        <x:v>the final train departs soon and heavy rain has begun</x:v>
      </x:c>
      <x:c r="S156" s="49" t="str">
        <x:v>Green</x:v>
      </x:c>
      <x:c r="T156" s="49" t="str">
        <x:v>IES_v7_02_SCENE_CARDS.md#S03</x:v>
      </x:c>
    </x:row>
    <x:row r="157" ht="44" customHeight="1">
      <x:c r="A157" s="49" t="str">
        <x:v>S04</x:v>
      </x:c>
      <x:c r="B157" s="49" t="str">
        <x:v>接客・サービス</x:v>
      </x:c>
      <x:c r="C157" s="49" t="str">
        <x:v>The Wedding Plan Reset</x:v>
      </x:c>
      <x:c r="D157" s="49" t="str">
        <x:v>ウェディングプランの白紙撤回</x:v>
      </x:c>
      <x:c r="E157" s="49" t="str">
        <x:v>Present day; a wedding-planning studio six weeks before the ceremony. No supernatural rule is added.</x:v>
      </x:c>
      <x:c r="F157" s="49" t="str">
        <x:v>the client asking to replace most of the plan</x:v>
      </x:c>
      <x:c r="G157" s="49" t="str">
        <x:v>Planner Isabella Cruz, your assigned coordinator</x:v>
      </x:c>
      <x:c r="H157" s="49" t="str">
        <x:v>Maple</x:v>
      </x:c>
      <x:c r="I157" s="49" t="str">
        <x:v>朗らかで率直。軽快、日常、サービス場面に合う</x:v>
      </x:c>
      <x:c r="J157" s="49" t="str">
        <x:v>B1–B2</x:v>
      </x:c>
      <x:c r="K157" s="49" t="str">
        <x:v>ふつう</x:v>
      </x:c>
      <x:c r="L157" s="49" t="str">
        <x:v>2〜3文で自然に受け答え</x:v>
      </x:c>
      <x:c r="M157" s="49" t="str">
        <x:v>preference clarification and tradeoffs</x:v>
      </x:c>
      <x:c r="N157" s="49" t="str">
        <x:v>one-to-one; contemporary pressure; relationship choice</x:v>
      </x:c>
      <x:c r="O157" s="49" t="str">
        <x:v>practical, courteous, and time-sensitive</x:v>
      </x:c>
      <x:c r="P157" s="51" t="n">
        <x:v>12</x:v>
      </x:c>
      <x:c r="Q157" s="49" t="str">
        <x:v>explain the new priorities and protect the non-negotiable parts</x:v>
      </x:c>
      <x:c r="R157" s="49" t="str">
        <x:v>major deposits become nonrefundable tonight</x:v>
      </x:c>
      <x:c r="S157" s="49" t="str">
        <x:v>Green</x:v>
      </x:c>
      <x:c r="T157" s="49" t="str">
        <x:v>IES_v7_02_SCENE_CARDS.md#S04</x:v>
      </x:c>
    </x:row>
    <x:row r="158" ht="44" customHeight="1">
      <x:c r="A158" s="49" t="str">
        <x:v>S05</x:v>
      </x:c>
      <x:c r="B158" s="49" t="str">
        <x:v>接客・サービス</x:v>
      </x:c>
      <x:c r="C158" s="49" t="str">
        <x:v>The Haircut Mistake</x:v>
      </x:c>
      <x:c r="D158" s="49" t="str">
        <x:v>美容院で切りすぎた髪</x:v>
      </x:c>
      <x:c r="E158" s="49" t="str">
        <x:v>Present day; a salon chair after a clear misunderstanding. No supernatural rule is added.</x:v>
      </x:c>
      <x:c r="F158" s="49" t="str">
        <x:v>the customer unhappy with the result</x:v>
      </x:c>
      <x:c r="G158" s="49" t="str">
        <x:v>Stylist Emily Park, who realizes the mistake</x:v>
      </x:c>
      <x:c r="H158" s="49" t="str">
        <x:v>Maple</x:v>
      </x:c>
      <x:c r="I158" s="49" t="str">
        <x:v>朗らかで率直。軽快、日常、サービス場面に合う</x:v>
      </x:c>
      <x:c r="J158" s="49" t="str">
        <x:v>A2–B1</x:v>
      </x:c>
      <x:c r="K158" s="49" t="str">
        <x:v>やさしい</x:v>
      </x:c>
      <x:c r="L158" s="49" t="str">
        <x:v>短い返事でOK。選択肢や言い換えあり</x:v>
      </x:c>
      <x:c r="M158" s="49" t="str">
        <x:v>specific complaint and solution negotiation</x:v>
      </x:c>
      <x:c r="N158" s="49" t="str">
        <x:v>one-to-one; contemporary pressure; relationship choice</x:v>
      </x:c>
      <x:c r="O158" s="49" t="str">
        <x:v>practical, courteous, and time-sensitive</x:v>
      </x:c>
      <x:c r="P158" s="51" t="n">
        <x:v>8</x:v>
      </x:c>
      <x:c r="Q158" s="49" t="str">
        <x:v>describe the problem calmly and agree on repair, refund, or follow-up</x:v>
      </x:c>
      <x:c r="R158" s="49" t="str">
        <x:v>the salon is closing and an important event is tomorrow</x:v>
      </x:c>
      <x:c r="S158" s="49" t="str">
        <x:v>Green</x:v>
      </x:c>
      <x:c r="T158" s="49" t="str">
        <x:v>IES_v7_02_SCENE_CARDS.md#S05</x:v>
      </x:c>
    </x:row>
    <x:row r="159" ht="44" customHeight="1">
      <x:c r="A159" s="49" t="str">
        <x:v>S06</x:v>
      </x:c>
      <x:c r="B159" s="49" t="str">
        <x:v>接客・サービス</x:v>
      </x:c>
      <x:c r="C159" s="49" t="str">
        <x:v>The Midnight Regular</x:v>
      </x:c>
      <x:c r="D159" s="49" t="str">
        <x:v>深夜のコンビニ常連客</x:v>
      </x:c>
      <x:c r="E159" s="49" t="str">
        <x:v>Present day; a convenience store during a quiet overnight shift. No supernatural rule is added.</x:v>
      </x:c>
      <x:c r="F159" s="49" t="str">
        <x:v>the clerk who notices a regular acting unusually</x:v>
      </x:c>
      <x:c r="G159" s="49" t="str">
        <x:v>Customer Mina Lewis, who asks to stay inside until morning</x:v>
      </x:c>
      <x:c r="H159" s="49" t="str">
        <x:v>Maple</x:v>
      </x:c>
      <x:c r="I159" s="49" t="str">
        <x:v>朗らかで率直。軽快、日常、サービス場面に合う</x:v>
      </x:c>
      <x:c r="J159" s="49" t="str">
        <x:v>A2–B2</x:v>
      </x:c>
      <x:c r="K159" s="49" t="str">
        <x:v>やさしい</x:v>
      </x:c>
      <x:c r="L159" s="49" t="str">
        <x:v>短い返事でOK。選択肢や言い換えあり</x:v>
      </x:c>
      <x:c r="M159" s="49" t="str">
        <x:v>safety questions and boundary setting</x:v>
      </x:c>
      <x:c r="N159" s="49" t="str">
        <x:v>one-to-one; contemporary pressure; relationship choice</x:v>
      </x:c>
      <x:c r="O159" s="49" t="str">
        <x:v>practical, courteous, and time-sensitive</x:v>
      </x:c>
      <x:c r="P159" s="51" t="n">
        <x:v>10</x:v>
      </x:c>
      <x:c r="Q159" s="49" t="str">
        <x:v>clarify the situation, maintain store rules, and offer safe options</x:v>
      </x:c>
      <x:c r="R159" s="49" t="str">
        <x:v>someone outside appears to be waiting for her</x:v>
      </x:c>
      <x:c r="S159" s="49" t="str">
        <x:v>Green</x:v>
      </x:c>
      <x:c r="T159" s="49" t="str">
        <x:v>IES_v7_02_SCENE_CARDS.md#S06</x:v>
      </x:c>
    </x:row>
    <x:row r="160" ht="44" customHeight="1">
      <x:c r="A160" s="49" t="str">
        <x:v>S07</x:v>
      </x:c>
      <x:c r="B160" s="49" t="str">
        <x:v>接客・サービス</x:v>
      </x:c>
      <x:c r="C160" s="49" t="str">
        <x:v>The Address That Is Not There</x:v>
      </x:c>
      <x:c r="D160" s="49" t="str">
        <x:v>配達先が存在しない</x:v>
      </x:c>
      <x:c r="E160" s="49" t="str">
        <x:v>Present day; an apartment block where the listed unit number does not exist. No supernatural rule is added.</x:v>
      </x:c>
      <x:c r="F160" s="49" t="str">
        <x:v>the courier responsible for a time-sensitive package</x:v>
      </x:c>
      <x:c r="G160" s="49" t="str">
        <x:v>Dispatcher Leah Kim, guiding you by phone</x:v>
      </x:c>
      <x:c r="H160" s="49" t="str">
        <x:v>Maple</x:v>
      </x:c>
      <x:c r="I160" s="49" t="str">
        <x:v>朗らかで率直。軽快、日常、サービス場面に合う</x:v>
      </x:c>
      <x:c r="J160" s="49" t="str">
        <x:v>A2–B1</x:v>
      </x:c>
      <x:c r="K160" s="49" t="str">
        <x:v>やさしい</x:v>
      </x:c>
      <x:c r="L160" s="49" t="str">
        <x:v>短い返事でOK。選択肢や言い換えあり</x:v>
      </x:c>
      <x:c r="M160" s="49" t="str">
        <x:v>location clarification and procedural decisions</x:v>
      </x:c>
      <x:c r="N160" s="49" t="str">
        <x:v>one-to-one; contemporary pressure; relationship choice</x:v>
      </x:c>
      <x:c r="O160" s="49" t="str">
        <x:v>practical, courteous, and time-sensitive</x:v>
      </x:c>
      <x:c r="P160" s="51" t="n">
        <x:v>8</x:v>
      </x:c>
      <x:c r="Q160" s="49" t="str">
        <x:v>verify the address and decide whether the delivery can be completed safely</x:v>
      </x:c>
      <x:c r="R160" s="49" t="str">
        <x:v>the package requires a signature within twenty minutes</x:v>
      </x:c>
      <x:c r="S160" s="49" t="str">
        <x:v>Green</x:v>
      </x:c>
      <x:c r="T160" s="49" t="str">
        <x:v>IES_v7_02_SCENE_CARDS.md#S07</x:v>
      </x:c>
    </x:row>
    <x:row r="161" ht="44" customHeight="1">
      <x:c r="A161" s="49" t="str">
        <x:v>S08</x:v>
      </x:c>
      <x:c r="B161" s="49" t="str">
        <x:v>接客・サービス</x:v>
      </x:c>
      <x:c r="C161" s="49" t="str">
        <x:v>The Dress Code Decision</x:v>
      </x:c>
      <x:c r="D161" s="49" t="str">
        <x:v>高級店のドレスコード</x:v>
      </x:c>
      <x:c r="E161" s="49" t="str">
        <x:v>Present day; a fine-dining entrance during a special anniversary booking. No supernatural rule is added.</x:v>
      </x:c>
      <x:c r="F161" s="49" t="str">
        <x:v>the host deciding whether to admit a guest</x:v>
      </x:c>
      <x:c r="G161" s="49" t="str">
        <x:v>Guest Ana Rivera, whose clothing does not match the stated rule</x:v>
      </x:c>
      <x:c r="H161" s="49" t="str">
        <x:v>Maple</x:v>
      </x:c>
      <x:c r="I161" s="49" t="str">
        <x:v>朗らかで率直。軽快、日常、サービス場面に合う</x:v>
      </x:c>
      <x:c r="J161" s="49" t="str">
        <x:v>B1–B2</x:v>
      </x:c>
      <x:c r="K161" s="49" t="str">
        <x:v>ふつう</x:v>
      </x:c>
      <x:c r="L161" s="49" t="str">
        <x:v>2〜3文で自然に受け答え</x:v>
      </x:c>
      <x:c r="M161" s="49" t="str">
        <x:v>polite policy explanation and alternatives</x:v>
      </x:c>
      <x:c r="N161" s="49" t="str">
        <x:v>one-to-one; contemporary pressure; relationship choice</x:v>
      </x:c>
      <x:c r="O161" s="49" t="str">
        <x:v>practical, courteous, and time-sensitive</x:v>
      </x:c>
      <x:c r="P161" s="51" t="n">
        <x:v>10</x:v>
      </x:c>
      <x:c r="Q161" s="49" t="str">
        <x:v>apply the policy without humiliation and offer an immediate solution</x:v>
      </x:c>
      <x:c r="R161" s="49" t="str">
        <x:v>other guests are watching and the reservation window is closing</x:v>
      </x:c>
      <x:c r="S161" s="49" t="str">
        <x:v>Green</x:v>
      </x:c>
      <x:c r="T161" s="49" t="str">
        <x:v>IES_v7_02_SCENE_CARDS.md#S08</x:v>
      </x:c>
    </x:row>
    <x:row r="162" ht="44" customHeight="1">
      <x:c r="A162" s="49" t="str">
        <x:v>S09</x:v>
      </x:c>
      <x:c r="B162" s="49" t="str">
        <x:v>接客・サービス</x:v>
      </x:c>
      <x:c r="C162" s="49" t="str">
        <x:v>The Tour Guide Is Challenged</x:v>
      </x:c>
      <x:c r="D162" s="49" t="str">
        <x:v>ツアーガイドの歴史訂正</x:v>
      </x:c>
      <x:c r="E162" s="49" t="str">
        <x:v>Present day; a museum tour after a visitor disputes a historical claim. No supernatural rule is added.</x:v>
      </x:c>
      <x:c r="F162" s="49" t="str">
        <x:v>the guide responsible for the group</x:v>
      </x:c>
      <x:c r="G162" s="49" t="str">
        <x:v>Dr. Victoria Lane, a specialist in the subject</x:v>
      </x:c>
      <x:c r="H162" s="49" t="str">
        <x:v>Maple</x:v>
      </x:c>
      <x:c r="I162" s="49" t="str">
        <x:v>朗らかで率直。軽快、日常、サービス場面に合う</x:v>
      </x:c>
      <x:c r="J162" s="49" t="str">
        <x:v>B1–C1</x:v>
      </x:c>
      <x:c r="K162" s="49" t="str">
        <x:v>ふつう</x:v>
      </x:c>
      <x:c r="L162" s="49" t="str">
        <x:v>2〜3文で自然に受け答え</x:v>
      </x:c>
      <x:c r="M162" s="49" t="str">
        <x:v>responding to expert correction</x:v>
      </x:c>
      <x:c r="N162" s="49" t="str">
        <x:v>one-to-one; contemporary pressure; relationship choice</x:v>
      </x:c>
      <x:c r="O162" s="49" t="str">
        <x:v>practical, courteous, and time-sensitive</x:v>
      </x:c>
      <x:c r="P162" s="51" t="n">
        <x:v>10</x:v>
      </x:c>
      <x:c r="Q162" s="49" t="str">
        <x:v>acknowledge uncertainty and correct the tour without losing authority</x:v>
      </x:c>
      <x:c r="R162" s="49" t="str">
        <x:v>the group is recording the exchange</x:v>
      </x:c>
      <x:c r="S162" s="49" t="str">
        <x:v>Green</x:v>
      </x:c>
      <x:c r="T162" s="49" t="str">
        <x:v>IES_v7_02_SCENE_CARDS.md#S09</x:v>
      </x:c>
    </x:row>
    <x:row r="163" ht="44" customHeight="1">
      <x:c r="A163" s="49" t="str">
        <x:v>S10</x:v>
      </x:c>
      <x:c r="B163" s="49" t="str">
        <x:v>接客・サービス</x:v>
      </x:c>
      <x:c r="C163" s="49" t="str">
        <x:v>The Last Flight Home</x:v>
      </x:c>
      <x:c r="D163" s="49" t="str">
        <x:v>空港ラウンジの最終便</x:v>
      </x:c>
      <x:c r="E163" s="49" t="str">
        <x:v>Present day; an airline lounge during mass cancellations. No supernatural rule is added.</x:v>
      </x:c>
      <x:c r="F163" s="49" t="str">
        <x:v>the service agent helping one stranded traveler</x:v>
      </x:c>
      <x:c r="G163" s="49" t="str">
        <x:v>Passenger Nora Ellis, traveling for an urgent family reason</x:v>
      </x:c>
      <x:c r="H163" s="49" t="str">
        <x:v>Maple</x:v>
      </x:c>
      <x:c r="I163" s="49" t="str">
        <x:v>朗らかで率直。軽快、日常、サービス場面に合う</x:v>
      </x:c>
      <x:c r="J163" s="49" t="str">
        <x:v>A2–B2</x:v>
      </x:c>
      <x:c r="K163" s="49" t="str">
        <x:v>やさしい</x:v>
      </x:c>
      <x:c r="L163" s="49" t="str">
        <x:v>短い返事でOK。選択肢や言い換えあり</x:v>
      </x:c>
      <x:c r="M163" s="49" t="str">
        <x:v>travel options and expectation setting</x:v>
      </x:c>
      <x:c r="N163" s="49" t="str">
        <x:v>one-to-one; contemporary pressure; relationship choice</x:v>
      </x:c>
      <x:c r="O163" s="49" t="str">
        <x:v>practical, courteous, and time-sensitive</x:v>
      </x:c>
      <x:c r="P163" s="51" t="n">
        <x:v>12</x:v>
      </x:c>
      <x:c r="Q163" s="49" t="str">
        <x:v>find a workable route and explain what the airline can and cannot provide</x:v>
      </x:c>
      <x:c r="R163" s="49" t="str">
        <x:v>the final standby list closes in ten minutes</x:v>
      </x:c>
      <x:c r="S163" s="49" t="str">
        <x:v>Green</x:v>
      </x:c>
      <x:c r="T163" s="49" t="str">
        <x:v>IES_v7_02_SCENE_CARDS.md#S10</x:v>
      </x:c>
    </x:row>
    <x:row r="164" ht="44" customHeight="1">
      <x:c r="A164" s="49" t="str">
        <x:v>S11</x:v>
      </x:c>
      <x:c r="B164" s="49" t="str">
        <x:v>接客・サービス</x:v>
      </x:c>
      <x:c r="C164" s="49" t="str">
        <x:v>The Stain Before the Ceremony</x:v>
      </x:c>
      <x:c r="D164" s="49" t="str">
        <x:v>貸衣装の汚れ</x:v>
      </x:c>
      <x:c r="E164" s="49" t="str">
        <x:v>Present day; a formalwear rental shop shortly before a ceremony. No supernatural rule is added.</x:v>
      </x:c>
      <x:c r="F164" s="49" t="str">
        <x:v>the customer discovering damage on a reserved outfit</x:v>
      </x:c>
      <x:c r="G164" s="49" t="str">
        <x:v>Manager Sofia Webb, reviewing responsibility for the stain</x:v>
      </x:c>
      <x:c r="H164" s="49" t="str">
        <x:v>Breeze</x:v>
      </x:c>
      <x:c r="I164" s="49" t="str">
        <x:v>表情豊かで真剣。緊迫、怪異、冒険に合う</x:v>
      </x:c>
      <x:c r="J164" s="49" t="str">
        <x:v>A2–B1</x:v>
      </x:c>
      <x:c r="K164" s="49" t="str">
        <x:v>やさしい</x:v>
      </x:c>
      <x:c r="L164" s="49" t="str">
        <x:v>短い返事でOK。選択肢や言い換えあり</x:v>
      </x:c>
      <x:c r="M164" s="49" t="str">
        <x:v>evidence, apology, and urgent alternatives</x:v>
      </x:c>
      <x:c r="N164" s="49" t="str">
        <x:v>one-to-one; contemporary pressure; relationship choice</x:v>
      </x:c>
      <x:c r="O164" s="49" t="str">
        <x:v>practical, courteous, and time-sensitive</x:v>
      </x:c>
      <x:c r="P164" s="51" t="n">
        <x:v>10</x:v>
      </x:c>
      <x:c r="Q164" s="49" t="str">
        <x:v>establish when it occurred and secure a replacement</x:v>
      </x:c>
      <x:c r="R164" s="49" t="str">
        <x:v>the ceremony starts in ninety minutes</x:v>
      </x:c>
      <x:c r="S164" s="49" t="str">
        <x:v>Green</x:v>
      </x:c>
      <x:c r="T164" s="49" t="str">
        <x:v>IES_v7_02_SCENE_CARDS.md#S11</x:v>
      </x:c>
    </x:row>
    <x:row r="165" ht="44" customHeight="1">
      <x:c r="A165" s="49" t="str">
        <x:v>S12</x:v>
      </x:c>
      <x:c r="B165" s="49" t="str">
        <x:v>接客・サービス</x:v>
      </x:c>
      <x:c r="C165" s="49" t="str">
        <x:v>The Cold Room at the Inn</x:v>
      </x:c>
      <x:c r="D165" s="49" t="str">
        <x:v>旅館の一室だけが寒い</x:v>
      </x:c>
      <x:c r="E165" s="49" t="str">
        <x:v>Present day; a traditional inn during a winter holiday. No supernatural rule is added.</x:v>
      </x:c>
      <x:c r="F165" s="49" t="str">
        <x:v>the guest reporting an unresolved room problem</x:v>
      </x:c>
      <x:c r="G165" s="49" t="str">
        <x:v>Hostess Yui Carter, personally handling the complaint</x:v>
      </x:c>
      <x:c r="H165" s="49" t="str">
        <x:v>Maple</x:v>
      </x:c>
      <x:c r="I165" s="49" t="str">
        <x:v>朗らかで率直。軽快、日常、サービス場面に合う</x:v>
      </x:c>
      <x:c r="J165" s="49" t="str">
        <x:v>A2–B1</x:v>
      </x:c>
      <x:c r="K165" s="49" t="str">
        <x:v>やさしい</x:v>
      </x:c>
      <x:c r="L165" s="49" t="str">
        <x:v>短い返事でOK。選択肢や言い換えあり</x:v>
      </x:c>
      <x:c r="M165" s="49" t="str">
        <x:v>service follow-up and compromise</x:v>
      </x:c>
      <x:c r="N165" s="49" t="str">
        <x:v>one-to-one; contemporary pressure; relationship choice</x:v>
      </x:c>
      <x:c r="O165" s="49" t="str">
        <x:v>practical, courteous, and time-sensitive</x:v>
      </x:c>
      <x:c r="P165" s="51" t="n">
        <x:v>10</x:v>
      </x:c>
      <x:c r="Q165" s="49" t="str">
        <x:v>explain what has already been tried and agree on a comfortable solution</x:v>
      </x:c>
      <x:c r="R165" s="49" t="str">
        <x:v>no equivalent room is available tonight</x:v>
      </x:c>
      <x:c r="S165" s="49" t="str">
        <x:v>Green</x:v>
      </x:c>
      <x:c r="T165" s="49" t="str">
        <x:v>IES_v7_02_SCENE_CARDS.md#S12</x:v>
      </x:c>
    </x:row>
    <x:row r="166" ht="44" customHeight="1">
      <x:c r="A166" s="49" t="str">
        <x:v>S13</x:v>
      </x:c>
      <x:c r="B166" s="49" t="str">
        <x:v>接客・サービス</x:v>
      </x:c>
      <x:c r="C166" s="49" t="str">
        <x:v>The Birthday Without a Booking</x:v>
      </x:c>
      <x:c r="D166" s="49" t="str">
        <x:v>予約のない誕生日席</x:v>
      </x:c>
      <x:c r="E166" s="49" t="str">
        <x:v>Present day; a busy restaurant where a family expects a celebration setup. No supernatural rule is added.</x:v>
      </x:c>
      <x:c r="F166" s="49" t="str">
        <x:v>the manager dealing with an unrecorded request</x:v>
      </x:c>
      <x:c r="G166" s="49" t="str">
        <x:v>Guest Lily Foster, certain she arranged everything by phone</x:v>
      </x:c>
      <x:c r="H166" s="49" t="str">
        <x:v>Maple</x:v>
      </x:c>
      <x:c r="I166" s="49" t="str">
        <x:v>朗らかで率直。軽快、日常、サービス場面に合う</x:v>
      </x:c>
      <x:c r="J166" s="49" t="str">
        <x:v>A2–B1</x:v>
      </x:c>
      <x:c r="K166" s="49" t="str">
        <x:v>やさしい</x:v>
      </x:c>
      <x:c r="L166" s="49" t="str">
        <x:v>短い返事でOK。選択肢や言い換えあり</x:v>
      </x:c>
      <x:c r="M166" s="49" t="str">
        <x:v>verification and creative service recovery</x:v>
      </x:c>
      <x:c r="N166" s="49" t="str">
        <x:v>one-to-one; contemporary pressure; relationship choice</x:v>
      </x:c>
      <x:c r="O166" s="49" t="str">
        <x:v>practical, courteous, and time-sensitive</x:v>
      </x:c>
      <x:c r="P166" s="51" t="n">
        <x:v>10</x:v>
      </x:c>
      <x:c r="Q166" s="49" t="str">
        <x:v>confirm the facts and create a modest alternative quickly</x:v>
      </x:c>
      <x:c r="R166" s="49" t="str">
        <x:v>the birthday guest arrives in fifteen minutes</x:v>
      </x:c>
      <x:c r="S166" s="49" t="str">
        <x:v>Green</x:v>
      </x:c>
      <x:c r="T166" s="49" t="str">
        <x:v>IES_v7_02_SCENE_CARDS.md#S13</x:v>
      </x:c>
    </x:row>
    <x:row r="167" ht="44" customHeight="1">
      <x:c r="A167" s="49" t="str">
        <x:v>S14</x:v>
      </x:c>
      <x:c r="B167" s="49" t="str">
        <x:v>接客・サービス</x:v>
      </x:c>
      <x:c r="C167" s="49" t="str">
        <x:v>The Phone Repair Risk</x:v>
      </x:c>
      <x:c r="D167" s="49" t="str">
        <x:v>修理店の消えた写真</x:v>
      </x:c>
      <x:c r="E167" s="49" t="str">
        <x:v>Present day; a device-repair counter after data is found missing. No supernatural rule is added.</x:v>
      </x:c>
      <x:c r="F167" s="49" t="str">
        <x:v>the customer whose phone contained irreplaceable photos</x:v>
      </x:c>
      <x:c r="G167" s="49" t="str">
        <x:v>Technician Maya Collins, the person who performed the repair</x:v>
      </x:c>
      <x:c r="H167" s="49" t="str">
        <x:v>Maple</x:v>
      </x:c>
      <x:c r="I167" s="49" t="str">
        <x:v>朗らかで率直。軽快、日常、サービス場面に合う</x:v>
      </x:c>
      <x:c r="J167" s="49" t="str">
        <x:v>B1–B2</x:v>
      </x:c>
      <x:c r="K167" s="49" t="str">
        <x:v>ふつう</x:v>
      </x:c>
      <x:c r="L167" s="49" t="str">
        <x:v>2〜3文で自然に受け答え</x:v>
      </x:c>
      <x:c r="M167" s="49" t="str">
        <x:v>technical problem reporting and uncertainty</x:v>
      </x:c>
      <x:c r="N167" s="49" t="str">
        <x:v>one-to-one; contemporary pressure; relationship choice</x:v>
      </x:c>
      <x:c r="O167" s="49" t="str">
        <x:v>practical, courteous, and time-sensitive</x:v>
      </x:c>
      <x:c r="P167" s="51" t="n">
        <x:v>12</x:v>
      </x:c>
      <x:c r="Q167" s="49" t="str">
        <x:v>determine what happened and discuss recovery without false promises</x:v>
      </x:c>
      <x:c r="R167" s="49" t="str">
        <x:v>the backup account may lock after one more attempt</x:v>
      </x:c>
      <x:c r="S167" s="49" t="str">
        <x:v>Green</x:v>
      </x:c>
      <x:c r="T167" s="49" t="str">
        <x:v>IES_v7_02_SCENE_CARDS.md#S14</x:v>
      </x:c>
    </x:row>
    <x:row r="168" ht="44" customHeight="1">
      <x:c r="A168" s="49" t="str">
        <x:v>S15</x:v>
      </x:c>
      <x:c r="B168" s="49" t="str">
        <x:v>接客・サービス</x:v>
      </x:c>
      <x:c r="C168" s="49" t="str">
        <x:v>The Apartment Disclosure</x:v>
      </x:c>
      <x:c r="D168" s="49" t="str">
        <x:v>不動産内見の告知漏れ</x:v>
      </x:c>
      <x:c r="E168" s="49" t="str">
        <x:v>Present day; an apartment viewing after a serious building issue is mentioned casually. No supernatural rule is added.</x:v>
      </x:c>
      <x:c r="F168" s="49" t="str">
        <x:v>the prospective tenant deciding whether to proceed</x:v>
      </x:c>
      <x:c r="G168" s="49" t="str">
        <x:v>Agent Chloe Bennett, eager to close the lease</x:v>
      </x:c>
      <x:c r="H168" s="49" t="str">
        <x:v>Maple</x:v>
      </x:c>
      <x:c r="I168" s="49" t="str">
        <x:v>朗らかで率直。軽快、日常、サービス場面に合う</x:v>
      </x:c>
      <x:c r="J168" s="49" t="str">
        <x:v>B1–B2</x:v>
      </x:c>
      <x:c r="K168" s="49" t="str">
        <x:v>ふつう</x:v>
      </x:c>
      <x:c r="L168" s="49" t="str">
        <x:v>2〜3文で自然に受け答え</x:v>
      </x:c>
      <x:c r="M168" s="49" t="str">
        <x:v>housing questions and resisting pressure</x:v>
      </x:c>
      <x:c r="N168" s="49" t="str">
        <x:v>one-to-one; contemporary pressure; relationship choice</x:v>
      </x:c>
      <x:c r="O168" s="49" t="str">
        <x:v>practical, courteous, and time-sensitive</x:v>
      </x:c>
      <x:c r="P168" s="51" t="n">
        <x:v>12</x:v>
      </x:c>
      <x:c r="Q168" s="49" t="str">
        <x:v>ask precise questions and require written clarification</x:v>
      </x:c>
      <x:c r="R168" s="49" t="str">
        <x:v>another applicant is ready to sign today</x:v>
      </x:c>
      <x:c r="S168" s="49" t="str">
        <x:v>Green</x:v>
      </x:c>
      <x:c r="T168" s="49" t="str">
        <x:v>IES_v7_02_SCENE_CARDS.md#S15</x:v>
      </x:c>
    </x:row>
    <x:row r="169" ht="44" customHeight="1">
      <x:c r="A169" s="49" t="str">
        <x:v>S16</x:v>
      </x:c>
      <x:c r="B169" s="49" t="str">
        <x:v>接客・サービス</x:v>
      </x:c>
      <x:c r="C169" s="49" t="str">
        <x:v>The Membership Renewal</x:v>
      </x:c>
      <x:c r="D169" s="49" t="str">
        <x:v>ジム退会の自動更新</x:v>
      </x:c>
      <x:c r="E169" s="49" t="str">
        <x:v>Present day; a fitness-club service desk. No supernatural rule is added.</x:v>
      </x:c>
      <x:c r="F169" s="49" t="str">
        <x:v>the member disputing an automatic annual charge</x:v>
      </x:c>
      <x:c r="G169" s="49" t="str">
        <x:v>Manager Naomi Reed, authorized to review the case</x:v>
      </x:c>
      <x:c r="H169" s="49" t="str">
        <x:v>Maple</x:v>
      </x:c>
      <x:c r="I169" s="49" t="str">
        <x:v>朗らかで率直。軽快、日常、サービス場面に合う</x:v>
      </x:c>
      <x:c r="J169" s="49" t="str">
        <x:v>A2–B1</x:v>
      </x:c>
      <x:c r="K169" s="49" t="str">
        <x:v>やさしい</x:v>
      </x:c>
      <x:c r="L169" s="49" t="str">
        <x:v>短い返事でOK。選択肢や言い換えあり</x:v>
      </x:c>
      <x:c r="M169" s="49" t="str">
        <x:v>consumer complaint and policy negotiation</x:v>
      </x:c>
      <x:c r="N169" s="49" t="str">
        <x:v>one-to-one; contemporary pressure; relationship choice</x:v>
      </x:c>
      <x:c r="O169" s="49" t="str">
        <x:v>practical, courteous, and time-sensitive</x:v>
      </x:c>
      <x:c r="P169" s="51" t="n">
        <x:v>10</x:v>
      </x:c>
      <x:c r="Q169" s="49" t="str">
        <x:v>explain the cancellation attempt and request a clear remedy</x:v>
      </x:c>
      <x:c r="R169" s="49" t="str">
        <x:v>the charge becomes final after today's accounting close</x:v>
      </x:c>
      <x:c r="S169" s="49" t="str">
        <x:v>Green</x:v>
      </x:c>
      <x:c r="T169" s="49" t="str">
        <x:v>IES_v7_02_SCENE_CARDS.md#S16</x:v>
      </x:c>
    </x:row>
    <x:row r="170" ht="44" customHeight="1">
      <x:c r="A170" s="49" t="str">
        <x:v>S17</x:v>
      </x:c>
      <x:c r="B170" s="49" t="str">
        <x:v>接客・サービス</x:v>
      </x:c>
      <x:c r="C170" s="49" t="str">
        <x:v>The Final Fitting</x:v>
      </x:c>
      <x:c r="D170" s="49" t="str">
        <x:v>オーダーメイド靴の最終調整</x:v>
      </x:c>
      <x:c r="E170" s="49" t="str">
        <x:v>Present day; a shoemaker's workshop before an important journey. No supernatural rule is added.</x:v>
      </x:c>
      <x:c r="F170" s="49" t="str">
        <x:v>the customer testing custom shoes</x:v>
      </x:c>
      <x:c r="G170" s="49" t="str">
        <x:v>Craftswoman Elena Rossi, who made the pair by hand</x:v>
      </x:c>
      <x:c r="H170" s="49" t="str">
        <x:v>Maple</x:v>
      </x:c>
      <x:c r="I170" s="49" t="str">
        <x:v>朗らかで率直。軽快、日常、サービス場面に合う</x:v>
      </x:c>
      <x:c r="J170" s="49" t="str">
        <x:v>A2–B2</x:v>
      </x:c>
      <x:c r="K170" s="49" t="str">
        <x:v>やさしい</x:v>
      </x:c>
      <x:c r="L170" s="49" t="str">
        <x:v>短い返事でOK。選択肢や言い換えあり</x:v>
      </x:c>
      <x:c r="M170" s="49" t="str">
        <x:v>precise physical description and tradeoffs</x:v>
      </x:c>
      <x:c r="N170" s="49" t="str">
        <x:v>one-to-one; contemporary pressure; relationship choice</x:v>
      </x:c>
      <x:c r="O170" s="49" t="str">
        <x:v>practical, courteous, and time-sensitive</x:v>
      </x:c>
      <x:c r="P170" s="51" t="n">
        <x:v>10</x:v>
      </x:c>
      <x:c r="Q170" s="49" t="str">
        <x:v>describe subtle discomfort and agree on the safest adjustment</x:v>
      </x:c>
      <x:c r="R170" s="49" t="str">
        <x:v>a major alteration may miss the departure date</x:v>
      </x:c>
      <x:c r="S170" s="49" t="str">
        <x:v>Green</x:v>
      </x:c>
      <x:c r="T170" s="49" t="str">
        <x:v>IES_v7_02_SCENE_CARDS.md#S17</x:v>
      </x:c>
    </x:row>
    <x:row r="171" ht="44" customHeight="1">
      <x:c r="A171" s="49" t="str">
        <x:v>S18</x:v>
      </x:c>
      <x:c r="B171" s="49" t="str">
        <x:v>接客・サービス</x:v>
      </x:c>
      <x:c r="C171" s="49" t="str">
        <x:v>The Flower with the Wrong Meaning</x:v>
      </x:c>
      <x:c r="D171" s="49" t="str">
        <x:v>花屋が選べない花</x:v>
      </x:c>
      <x:c r="E171" s="49" t="str">
        <x:v>Present day; a florist's shop before a difficult apology. No supernatural rule is added.</x:v>
      </x:c>
      <x:c r="F171" s="49" t="str">
        <x:v>the customer choosing a meaningful arrangement</x:v>
      </x:c>
      <x:c r="G171" s="49" t="str">
        <x:v>Florist Amina Rose, an expert in symbolic messages</x:v>
      </x:c>
      <x:c r="H171" s="49" t="str">
        <x:v>Maple</x:v>
      </x:c>
      <x:c r="I171" s="49" t="str">
        <x:v>朗らかで率直。軽快、日常、サービス場面に合う</x:v>
      </x:c>
      <x:c r="J171" s="49" t="str">
        <x:v>A2–B1</x:v>
      </x:c>
      <x:c r="K171" s="49" t="str">
        <x:v>やさしい</x:v>
      </x:c>
      <x:c r="L171" s="49" t="str">
        <x:v>短い返事でOK。選択肢や言い換えあり</x:v>
      </x:c>
      <x:c r="M171" s="49" t="str">
        <x:v>describing relationships and intentions</x:v>
      </x:c>
      <x:c r="N171" s="49" t="str">
        <x:v>one-to-one; contemporary pressure; relationship choice</x:v>
      </x:c>
      <x:c r="O171" s="49" t="str">
        <x:v>practical, courteous, and time-sensitive</x:v>
      </x:c>
      <x:c r="P171" s="51" t="n">
        <x:v>8</x:v>
      </x:c>
      <x:c r="Q171" s="49" t="str">
        <x:v>explain the relationship and avoid sending the wrong signal</x:v>
      </x:c>
      <x:c r="R171" s="49" t="str">
        <x:v>delivery leaves in twenty minutes</x:v>
      </x:c>
      <x:c r="S171" s="49" t="str">
        <x:v>Green</x:v>
      </x:c>
      <x:c r="T171" s="49" t="str">
        <x:v>IES_v7_02_SCENE_CARDS.md#S18</x:v>
      </x:c>
    </x:row>
    <x:row r="172" ht="44" customHeight="1">
      <x:c r="A172" s="49" t="str">
        <x:v>S19</x:v>
      </x:c>
      <x:c r="B172" s="49" t="str">
        <x:v>接客・サービス</x:v>
      </x:c>
      <x:c r="C172" s="49" t="str">
        <x:v>After the Test Drive</x:v>
      </x:c>
      <x:c r="D172" s="49" t="str">
        <x:v>中古車の試乗後</x:v>
      </x:c>
      <x:c r="E172" s="49" t="str">
        <x:v>Present day; a used-car dealership after an unexpected warning light appears. No supernatural rule is added.</x:v>
      </x:c>
      <x:c r="F172" s="49" t="str">
        <x:v>the buyer considering the purchase</x:v>
      </x:c>
      <x:c r="G172" s="49" t="str">
        <x:v>Saleswoman Priya Cole, representing the dealership</x:v>
      </x:c>
      <x:c r="H172" s="49" t="str">
        <x:v>Maple</x:v>
      </x:c>
      <x:c r="I172" s="49" t="str">
        <x:v>朗らかで率直。軽快、日常、サービス場面に合う</x:v>
      </x:c>
      <x:c r="J172" s="49" t="str">
        <x:v>B1–B2</x:v>
      </x:c>
      <x:c r="K172" s="49" t="str">
        <x:v>ふつう</x:v>
      </x:c>
      <x:c r="L172" s="49" t="str">
        <x:v>2〜3文で自然に受け答え</x:v>
      </x:c>
      <x:c r="M172" s="49" t="str">
        <x:v>technical questions and purchase boundaries</x:v>
      </x:c>
      <x:c r="N172" s="49" t="str">
        <x:v>one-to-one; contemporary pressure; relationship choice</x:v>
      </x:c>
      <x:c r="O172" s="49" t="str">
        <x:v>practical, courteous, and time-sensitive</x:v>
      </x:c>
      <x:c r="P172" s="51" t="n">
        <x:v>12</x:v>
      </x:c>
      <x:c r="Q172" s="49" t="str">
        <x:v>ask about inspection history and negotiate next steps</x:v>
      </x:c>
      <x:c r="R172" s="49" t="str">
        <x:v>the advertised discount ends today</x:v>
      </x:c>
      <x:c r="S172" s="49" t="str">
        <x:v>Green</x:v>
      </x:c>
      <x:c r="T172" s="49" t="str">
        <x:v>IES_v7_02_SCENE_CARDS.md#S19</x:v>
      </x:c>
    </x:row>
    <x:row r="173" ht="44" customHeight="1">
      <x:c r="A173" s="49" t="str">
        <x:v>S20</x:v>
      </x:c>
      <x:c r="B173" s="49" t="str">
        <x:v>接客・サービス</x:v>
      </x:c>
      <x:c r="C173" s="49" t="str">
        <x:v>The Wrong Suitcase of Clothes</x:v>
      </x:c>
      <x:c r="D173" s="49" t="str">
        <x:v>クリーニング店の取り違え</x:v>
      </x:c>
      <x:c r="E173" s="49" t="str">
        <x:v>Present day; a dry-cleaning counter before a business trip. No supernatural rule is added.</x:v>
      </x:c>
      <x:c r="F173" s="49" t="str">
        <x:v>the customer given someone else's formal clothing</x:v>
      </x:c>
      <x:c r="G173" s="49" t="str">
        <x:v>Owner Hannah Lee, searching the records</x:v>
      </x:c>
      <x:c r="H173" s="49" t="str">
        <x:v>Breeze</x:v>
      </x:c>
      <x:c r="I173" s="49" t="str">
        <x:v>表情豊かで真剣。緊迫、怪異、冒険に合う</x:v>
      </x:c>
      <x:c r="J173" s="49" t="str">
        <x:v>A2–B1</x:v>
      </x:c>
      <x:c r="K173" s="49" t="str">
        <x:v>やさしい</x:v>
      </x:c>
      <x:c r="L173" s="49" t="str">
        <x:v>短い返事でOK。選択肢や言い換えあり</x:v>
      </x:c>
      <x:c r="M173" s="49" t="str">
        <x:v>sequencing events and urgent requests</x:v>
      </x:c>
      <x:c r="N173" s="49" t="str">
        <x:v>one-to-one; contemporary pressure; relationship choice</x:v>
      </x:c>
      <x:c r="O173" s="49" t="str">
        <x:v>practical, courteous, and time-sensitive</x:v>
      </x:c>
      <x:c r="P173" s="51" t="n">
        <x:v>8</x:v>
      </x:c>
      <x:c r="Q173" s="49" t="str">
        <x:v>reconstruct the handoff and arrange an urgent solution</x:v>
      </x:c>
      <x:c r="R173" s="49" t="str">
        <x:v>your flight leaves in three hours</x:v>
      </x:c>
      <x:c r="S173" s="49" t="str">
        <x:v>Green</x:v>
      </x:c>
      <x:c r="T173" s="49" t="str">
        <x:v>IES_v7_02_SCENE_CARDS.md#S20</x:v>
      </x:c>
    </x:row>
    <x:row r="174" ht="44" customHeight="1">
      <x:c r="A174" s="49" t="str">
        <x:v>S21</x:v>
      </x:c>
      <x:c r="B174" s="49" t="str">
        <x:v>接客・サービス</x:v>
      </x:c>
      <x:c r="C174" s="49" t="str">
        <x:v>The Ingredient Question</x:v>
      </x:c>
      <x:c r="D174" s="49" t="str">
        <x:v>料理教室のアレルギー申告</x:v>
      </x:c>
      <x:c r="E174" s="49" t="str">
        <x:v>Present day; a cooking class after ingredients have already been mixed. No supernatural rule is added.</x:v>
      </x:c>
      <x:c r="F174" s="49" t="str">
        <x:v>the participant with an undisclosed allergy concern</x:v>
      </x:c>
      <x:c r="G174" s="49" t="str">
        <x:v>Instructor Grace Nguyen, leading the class</x:v>
      </x:c>
      <x:c r="H174" s="49" t="str">
        <x:v>Maple</x:v>
      </x:c>
      <x:c r="I174" s="49" t="str">
        <x:v>朗らかで率直。軽快、日常、サービス場面に合う</x:v>
      </x:c>
      <x:c r="J174" s="49" t="str">
        <x:v>A2–B1</x:v>
      </x:c>
      <x:c r="K174" s="49" t="str">
        <x:v>やさしい</x:v>
      </x:c>
      <x:c r="L174" s="49" t="str">
        <x:v>短い返事でOK。選択肢や言い換えあり</x:v>
      </x:c>
      <x:c r="M174" s="49" t="str">
        <x:v>health disclosure and clear instructions</x:v>
      </x:c>
      <x:c r="N174" s="49" t="str">
        <x:v>one-to-one; contemporary pressure; relationship choice</x:v>
      </x:c>
      <x:c r="O174" s="49" t="str">
        <x:v>practical, courteous, and time-sensitive</x:v>
      </x:c>
      <x:c r="P174" s="51" t="n">
        <x:v>8</x:v>
      </x:c>
      <x:c r="Q174" s="49" t="str">
        <x:v>clarify the risk and create a safe alternative without embarrassment</x:v>
      </x:c>
      <x:c r="R174" s="49" t="str">
        <x:v>the shared dish is about to be served</x:v>
      </x:c>
      <x:c r="S174" s="49" t="str">
        <x:v>Green</x:v>
      </x:c>
      <x:c r="T174" s="49" t="str">
        <x:v>IES_v7_02_SCENE_CARDS.md#S21</x:v>
      </x:c>
    </x:row>
    <x:row r="175" ht="44" customHeight="1">
      <x:c r="A175" s="49" t="str">
        <x:v>S22</x:v>
      </x:c>
      <x:c r="B175" s="49" t="str">
        <x:v>接客・サービス</x:v>
      </x:c>
      <x:c r="C175" s="49" t="str">
        <x:v>The Museum Lost and Found</x:v>
      </x:c>
      <x:c r="D175" s="49" t="str">
        <x:v>閉館前の忘れ物</x:v>
      </x:c>
      <x:c r="E175" s="49" t="str">
        <x:v>Present day; a museum security desk minutes before closing. No supernatural rule is added.</x:v>
      </x:c>
      <x:c r="F175" s="49" t="str">
        <x:v>the visitor missing an important personal item</x:v>
      </x:c>
      <x:c r="G175" s="49" t="str">
        <x:v>Guard Clara Jones, reviewing the final access log</x:v>
      </x:c>
      <x:c r="H175" s="49" t="str">
        <x:v>Maple</x:v>
      </x:c>
      <x:c r="I175" s="49" t="str">
        <x:v>朗らかで率直。軽快、日常、サービス場面に合う</x:v>
      </x:c>
      <x:c r="J175" s="49" t="str">
        <x:v>A2–B1</x:v>
      </x:c>
      <x:c r="K175" s="49" t="str">
        <x:v>やさしい</x:v>
      </x:c>
      <x:c r="L175" s="49" t="str">
        <x:v>短い返事でOK。選択肢や言い換えあり</x:v>
      </x:c>
      <x:c r="M175" s="49" t="str">
        <x:v>detailed description and route reconstruction</x:v>
      </x:c>
      <x:c r="N175" s="49" t="str">
        <x:v>one-to-one; contemporary pressure; relationship choice</x:v>
      </x:c>
      <x:c r="O175" s="49" t="str">
        <x:v>practical, courteous, and time-sensitive</x:v>
      </x:c>
      <x:c r="P175" s="51" t="n">
        <x:v>10</x:v>
      </x:c>
      <x:c r="Q175" s="49" t="str">
        <x:v>describe the item and retrace your route efficiently</x:v>
      </x:c>
      <x:c r="R175" s="49" t="str">
        <x:v>one gallery will be sealed for conservation overnight</x:v>
      </x:c>
      <x:c r="S175" s="49" t="str">
        <x:v>Green</x:v>
      </x:c>
      <x:c r="T175" s="49" t="str">
        <x:v>IES_v7_02_SCENE_CARDS.md#S22</x:v>
      </x:c>
    </x:row>
    <x:row r="176" ht="44" customHeight="1">
      <x:c r="A176" s="49" t="str">
        <x:v>R01</x:v>
      </x:c>
      <x:c r="B176" s="49" t="str">
        <x:v>現代恋愛・再会</x:v>
      </x:c>
      <x:c r="C176" s="49" t="str">
        <x:v>Seated Beside Your Ex</x:v>
      </x:c>
      <x:c r="D176" s="49" t="str">
        <x:v>同窓会で元恋人の隣</x:v>
      </x:c>
      <x:c r="E176" s="49" t="str">
        <x:v>Present day; a lively school reunion dinner. No supernatural rule is added.</x:v>
      </x:c>
      <x:c r="F176" s="49" t="str">
        <x:v>a guest unexpectedly seated beside a former partner</x:v>
      </x:c>
      <x:c r="G176" s="49" t="str">
        <x:v>Megan Cole, your ex after several years of silence</x:v>
      </x:c>
      <x:c r="H176" s="49" t="str">
        <x:v>Juniper</x:v>
      </x:c>
      <x:c r="I176" s="49" t="str">
        <x:v>開放的で明るい。相談、再会、親密な会話に合う</x:v>
      </x:c>
      <x:c r="J176" s="49" t="str">
        <x:v>B1–B2</x:v>
      </x:c>
      <x:c r="K176" s="49" t="str">
        <x:v>ふつう</x:v>
      </x:c>
      <x:c r="L176" s="49" t="str">
        <x:v>2〜3文で自然に受け答え</x:v>
      </x:c>
      <x:c r="M176" s="49" t="str">
        <x:v>past narration and present boundaries</x:v>
      </x:c>
      <x:c r="N176" s="49" t="str">
        <x:v>one-to-one; contemporary pressure; relationship choice</x:v>
      </x:c>
      <x:c r="O176" s="49" t="str">
        <x:v>intimate, contemporary, and choice-driven</x:v>
      </x:c>
      <x:c r="P176" s="51" t="n">
        <x:v>12</x:v>
      </x:c>
      <x:c r="Q176" s="49" t="str">
        <x:v>decide what to acknowledge, explain, or leave in the past</x:v>
      </x:c>
      <x:c r="R176" s="49" t="str">
        <x:v>friends keep assuming the reunion is romantic</x:v>
      </x:c>
      <x:c r="S176" s="49" t="str">
        <x:v>Green</x:v>
      </x:c>
      <x:c r="T176" s="49" t="str">
        <x:v>IES_v7_02_SCENE_CARDS.md#R01</x:v>
      </x:c>
    </x:row>
    <x:row r="177" ht="44" customHeight="1">
      <x:c r="A177" s="49" t="str">
        <x:v>R02</x:v>
      </x:c>
      <x:c r="B177" s="49" t="str">
        <x:v>現代恋愛・再会</x:v>
      </x:c>
      <x:c r="C177" s="49" t="str">
        <x:v>The One-Year Housemate Agreement</x:v>
      </x:c>
      <x:c r="D177" s="49" t="str">
        <x:v>一年限定の同居契約</x:v>
      </x:c>
      <x:c r="E177" s="49" t="str">
        <x:v>Present day; a shared apartment on the first night of a practical living arrangement. No supernatural rule is added.</x:v>
      </x:c>
      <x:c r="F177" s="49" t="str">
        <x:v>the new housemate negotiating rules</x:v>
      </x:c>
      <x:c r="G177" s="49" t="str">
        <x:v>Avery Lin, an acquaintance with very different habits</x:v>
      </x:c>
      <x:c r="H177" s="49" t="str">
        <x:v>Juniper</x:v>
      </x:c>
      <x:c r="I177" s="49" t="str">
        <x:v>開放的で明るい。相談、再会、親密な会話に合う</x:v>
      </x:c>
      <x:c r="J177" s="49" t="str">
        <x:v>A2–B2</x:v>
      </x:c>
      <x:c r="K177" s="49" t="str">
        <x:v>やさしい</x:v>
      </x:c>
      <x:c r="L177" s="49" t="str">
        <x:v>短い返事でOK。選択肢や言い換えあり</x:v>
      </x:c>
      <x:c r="M177" s="49" t="str">
        <x:v>household negotiation and boundaries</x:v>
      </x:c>
      <x:c r="N177" s="49" t="str">
        <x:v>one-to-one; contemporary pressure; relationship choice</x:v>
      </x:c>
      <x:c r="O177" s="49" t="str">
        <x:v>intimate, contemporary, and choice-driven</x:v>
      </x:c>
      <x:c r="P177" s="51" t="n">
        <x:v>12</x:v>
      </x:c>
      <x:c r="Q177" s="49" t="str">
        <x:v>agree on money, privacy, guests, chores, and an exit process</x:v>
      </x:c>
      <x:c r="R177" s="49" t="str">
        <x:v>the signed lease makes either person's departure expensive</x:v>
      </x:c>
      <x:c r="S177" s="49" t="str">
        <x:v>Green</x:v>
      </x:c>
      <x:c r="T177" s="49" t="str">
        <x:v>IES_v7_02_SCENE_CARDS.md#R02</x:v>
      </x:c>
    </x:row>
    <x:row r="178" ht="44" customHeight="1">
      <x:c r="A178" s="49" t="str">
        <x:v>R03</x:v>
      </x:c>
      <x:c r="B178" s="49" t="str">
        <x:v>現代恋愛・再会</x:v>
      </x:c>
      <x:c r="C178" s="49" t="str">
        <x:v>Matched with the Client</x:v>
      </x:c>
      <x:c r="D178" s="49" t="str">
        <x:v>マッチング相手は取引先</x:v>
      </x:c>
      <x:c r="E178" s="49" t="str">
        <x:v>Present day; a cafe before a first date arranged through an app. No supernatural rule is added.</x:v>
      </x:c>
      <x:c r="F178" s="49" t="str">
        <x:v>the person who recognizes the match as a business contact</x:v>
      </x:c>
      <x:c r="G178" s="49" t="str">
        <x:v>Natalie Shaw, the client's project lead</x:v>
      </x:c>
      <x:c r="H178" s="49" t="str">
        <x:v>Juniper</x:v>
      </x:c>
      <x:c r="I178" s="49" t="str">
        <x:v>開放的で明るい。相談、再会、親密な会話に合う</x:v>
      </x:c>
      <x:c r="J178" s="49" t="str">
        <x:v>B1–B2</x:v>
      </x:c>
      <x:c r="K178" s="49" t="str">
        <x:v>ふつう</x:v>
      </x:c>
      <x:c r="L178" s="49" t="str">
        <x:v>2〜3文で自然に受け答え</x:v>
      </x:c>
      <x:c r="M178" s="49" t="str">
        <x:v>expectation setting and consent</x:v>
      </x:c>
      <x:c r="N178" s="49" t="str">
        <x:v>one-to-one; contemporary pressure; relationship choice</x:v>
      </x:c>
      <x:c r="O178" s="49" t="str">
        <x:v>intimate, contemporary, and choice-driven</x:v>
      </x:c>
      <x:c r="P178" s="51" t="n">
        <x:v>10</x:v>
      </x:c>
      <x:c r="Q178" s="49" t="str">
        <x:v>decide whether to continue the meeting and protect the work relationship</x:v>
      </x:c>
      <x:c r="R178" s="49" t="str">
        <x:v>the app has already sent both of you a compatibility prompt</x:v>
      </x:c>
      <x:c r="S178" s="49" t="str">
        <x:v>Green</x:v>
      </x:c>
      <x:c r="T178" s="49" t="str">
        <x:v>IES_v7_02_SCENE_CARDS.md#R03</x:v>
      </x:c>
    </x:row>
    <x:row r="179" ht="44" customHeight="1">
      <x:c r="A179" s="49" t="str">
        <x:v>R04</x:v>
      </x:c>
      <x:c r="B179" s="49" t="str">
        <x:v>現代恋愛・再会</x:v>
      </x:c>
      <x:c r="C179" s="49" t="str">
        <x:v>The Ring Before the Breakup</x:v>
      </x:c>
      <x:c r="D179" s="49" t="str">
        <x:v>別れ話の前に届いた指輪</x:v>
      </x:c>
      <x:c r="E179" s="49" t="str">
        <x:v>Present day; an apartment evening planned for a difficult conversation. No supernatural rule is added.</x:v>
      </x:c>
      <x:c r="F179" s="49" t="str">
        <x:v>the partner intending to end the relationship</x:v>
      </x:c>
      <x:c r="G179" s="49" t="str">
        <x:v>Julia Hayes, who arrives with an unexpected ring box</x:v>
      </x:c>
      <x:c r="H179" s="49" t="str">
        <x:v>Juniper</x:v>
      </x:c>
      <x:c r="I179" s="49" t="str">
        <x:v>開放的で明るい。相談、再会、親密な会話に合う</x:v>
      </x:c>
      <x:c r="J179" s="49" t="str">
        <x:v>B1–C1</x:v>
      </x:c>
      <x:c r="K179" s="49" t="str">
        <x:v>ふつう</x:v>
      </x:c>
      <x:c r="L179" s="49" t="str">
        <x:v>2〜3文で自然に受け答え</x:v>
      </x:c>
      <x:c r="M179" s="49" t="str">
        <x:v>difficult disclosure and emotional boundaries</x:v>
      </x:c>
      <x:c r="N179" s="49" t="str">
        <x:v>one-to-one; contemporary pressure; relationship choice</x:v>
      </x:c>
      <x:c r="O179" s="49" t="str">
        <x:v>intimate, contemporary, and choice-driven</x:v>
      </x:c>
      <x:c r="P179" s="51" t="n">
        <x:v>12</x:v>
      </x:c>
      <x:c r="Q179" s="49" t="str">
        <x:v>speak honestly without letting the surprise decide for you</x:v>
      </x:c>
      <x:c r="R179" s="49" t="str">
        <x:v>Julia asks for an answer before you can begin your prepared speech</x:v>
      </x:c>
      <x:c r="S179" s="49" t="str">
        <x:v>Green</x:v>
      </x:c>
      <x:c r="T179" s="49" t="str">
        <x:v>IES_v7_02_SCENE_CARDS.md#R04</x:v>
      </x:c>
    </x:row>
    <x:row r="180" ht="44" customHeight="1">
      <x:c r="A180" s="49" t="str">
        <x:v>R05</x:v>
      </x:c>
      <x:c r="B180" s="49" t="str">
        <x:v>現代恋愛・再会</x:v>
      </x:c>
      <x:c r="C180" s="49" t="str">
        <x:v>The Friend's Confession</x:v>
      </x:c>
      <x:c r="D180" s="49" t="str">
        <x:v>親友からの突然の告白</x:v>
      </x:c>
      <x:c r="E180" s="49" t="str">
        <x:v>Present day; a quiet walk after a long friendship. No supernatural rule is added.</x:v>
      </x:c>
      <x:c r="F180" s="49" t="str">
        <x:v>the friend receiving an unexpected confession</x:v>
      </x:c>
      <x:c r="G180" s="49" t="str">
        <x:v>Emma Carter, your closest friend</x:v>
      </x:c>
      <x:c r="H180" s="49" t="str">
        <x:v>Juniper</x:v>
      </x:c>
      <x:c r="I180" s="49" t="str">
        <x:v>開放的で明るい。相談、再会、親密な会話に合う</x:v>
      </x:c>
      <x:c r="J180" s="49" t="str">
        <x:v>B1–B2</x:v>
      </x:c>
      <x:c r="K180" s="49" t="str">
        <x:v>ふつう</x:v>
      </x:c>
      <x:c r="L180" s="49" t="str">
        <x:v>2〜3文で自然に受け答え</x:v>
      </x:c>
      <x:c r="M180" s="49" t="str">
        <x:v>emotional clarity and respectful response</x:v>
      </x:c>
      <x:c r="N180" s="49" t="str">
        <x:v>one-to-one; contemporary pressure; relationship choice</x:v>
      </x:c>
      <x:c r="O180" s="49" t="str">
        <x:v>intimate, contemporary, and choice-driven</x:v>
      </x:c>
      <x:c r="P180" s="51" t="n">
        <x:v>10</x:v>
      </x:c>
      <x:c r="Q180" s="49" t="str">
        <x:v>respond honestly and protect her ability to choose distance</x:v>
      </x:c>
      <x:c r="R180" s="49" t="str">
        <x:v>a shared trip is scheduled for tomorrow</x:v>
      </x:c>
      <x:c r="S180" s="49" t="str">
        <x:v>Green</x:v>
      </x:c>
      <x:c r="T180" s="49" t="str">
        <x:v>IES_v7_02_SCENE_CARDS.md#R05</x:v>
      </x:c>
    </x:row>
    <x:row r="181" ht="44" customHeight="1">
      <x:c r="A181" s="49" t="str">
        <x:v>R06</x:v>
      </x:c>
      <x:c r="B181" s="49" t="str">
        <x:v>現代恋愛・再会</x:v>
      </x:c>
      <x:c r="C181" s="49" t="str">
        <x:v>The Pretend Date</x:v>
      </x:c>
      <x:c r="D181" s="49" t="str">
        <x:v>仕事だけの偽装恋人</x:v>
      </x:c>
      <x:c r="E181" s="49" t="str">
        <x:v>Present day; a corporate dinner where you agreed to appear as a couple. No supernatural rule is added.</x:v>
      </x:c>
      <x:c r="F181" s="49" t="str">
        <x:v>one participant in a temporary fake relationship</x:v>
      </x:c>
      <x:c r="G181" s="49" t="str">
        <x:v>Sienna Brooks, your colleague and acting partner</x:v>
      </x:c>
      <x:c r="H181" s="49" t="str">
        <x:v>Juniper</x:v>
      </x:c>
      <x:c r="I181" s="49" t="str">
        <x:v>開放的で明るい。相談、再会、親密な会話に合う</x:v>
      </x:c>
      <x:c r="J181" s="49" t="str">
        <x:v>B1–B2</x:v>
      </x:c>
      <x:c r="K181" s="49" t="str">
        <x:v>ふつう</x:v>
      </x:c>
      <x:c r="L181" s="49" t="str">
        <x:v>2〜3文で自然に受け答え</x:v>
      </x:c>
      <x:c r="M181" s="49" t="str">
        <x:v>boundary setting and coordinated cover story</x:v>
      </x:c>
      <x:c r="N181" s="49" t="str">
        <x:v>one-to-one; contemporary pressure; relationship choice</x:v>
      </x:c>
      <x:c r="O181" s="49" t="str">
        <x:v>intimate, contemporary, and choice-driven</x:v>
      </x:c>
      <x:c r="P181" s="51" t="n">
        <x:v>12</x:v>
      </x:c>
      <x:c r="Q181" s="49" t="str">
        <x:v>set rules for the evening and decide how to answer personal questions</x:v>
      </x:c>
      <x:c r="R181" s="49" t="str">
        <x:v>the host knows one of you from the past</x:v>
      </x:c>
      <x:c r="S181" s="49" t="str">
        <x:v>Green</x:v>
      </x:c>
      <x:c r="T181" s="49" t="str">
        <x:v>IES_v7_02_SCENE_CARDS.md#R06</x:v>
      </x:c>
    </x:row>
    <x:row r="182" ht="44" customHeight="1">
      <x:c r="A182" s="49" t="str">
        <x:v>R07</x:v>
      </x:c>
      <x:c r="B182" s="49" t="str">
        <x:v>現代恋愛・再会</x:v>
      </x:c>
      <x:c r="C182" s="49" t="str">
        <x:v>The Apology After Eight Years</x:v>
      </x:c>
      <x:c r="D182" s="49" t="str">
        <x:v>八年ぶりの謝罪</x:v>
      </x:c>
      <x:c r="E182" s="49" t="str">
        <x:v>Present day; a neighborhood coffee shop after an old bully requests a meeting. No supernatural rule is added.</x:v>
      </x:c>
      <x:c r="F182" s="49" t="str">
        <x:v>the person deciding whether to hear the apology</x:v>
      </x:c>
      <x:c r="G182" s="49" t="str">
        <x:v>Lauren Price, the former classmate who caused lasting harm</x:v>
      </x:c>
      <x:c r="H182" s="49" t="str">
        <x:v>Juniper</x:v>
      </x:c>
      <x:c r="I182" s="49" t="str">
        <x:v>開放的で明るい。相談、再会、親密な会話に合う</x:v>
      </x:c>
      <x:c r="J182" s="49" t="str">
        <x:v>B1–C1</x:v>
      </x:c>
      <x:c r="K182" s="49" t="str">
        <x:v>ふつう</x:v>
      </x:c>
      <x:c r="L182" s="49" t="str">
        <x:v>2〜3文で自然に受け答え</x:v>
      </x:c>
      <x:c r="M182" s="49" t="str">
        <x:v>accountability questions and firm limits</x:v>
      </x:c>
      <x:c r="N182" s="49" t="str">
        <x:v>one-to-one; contemporary pressure; relationship choice</x:v>
      </x:c>
      <x:c r="O182" s="49" t="str">
        <x:v>intimate, contemporary, and choice-driven</x:v>
      </x:c>
      <x:c r="P182" s="51" t="n">
        <x:v>15</x:v>
      </x:c>
      <x:c r="Q182" s="49" t="str">
        <x:v>ask for accountability and define what forgiveness would not mean</x:v>
      </x:c>
      <x:c r="R182" s="49" t="str">
        <x:v>Lauren expects to leave the city tomorrow</x:v>
      </x:c>
      <x:c r="S182" s="49" t="str">
        <x:v>Green</x:v>
      </x:c>
      <x:c r="T182" s="49" t="str">
        <x:v>IES_v7_02_SCENE_CARDS.md#R07</x:v>
      </x:c>
    </x:row>
    <x:row r="183" ht="44" customHeight="1">
      <x:c r="A183" s="49" t="str">
        <x:v>R08</x:v>
      </x:c>
      <x:c r="B183" s="49" t="str">
        <x:v>現代恋愛・再会</x:v>
      </x:c>
      <x:c r="C183" s="49" t="str">
        <x:v>The New Family Housemate</x:v>
      </x:c>
      <x:c r="D183" s="49" t="str">
        <x:v>親の再婚でできた同居人</x:v>
      </x:c>
      <x:c r="E183" s="49" t="str">
        <x:v>Present day; a family home after two adult households combine. No supernatural rule is added.</x:v>
      </x:c>
      <x:c r="F183" s="49" t="str">
        <x:v>the adult child negotiating space and expectations</x:v>
      </x:c>
      <x:c r="G183" s="49" t="str">
        <x:v>Madison Lee, the new stepsister you barely know</x:v>
      </x:c>
      <x:c r="H183" s="49" t="str">
        <x:v>Juniper</x:v>
      </x:c>
      <x:c r="I183" s="49" t="str">
        <x:v>開放的で明るい。相談、再会、親密な会話に合う</x:v>
      </x:c>
      <x:c r="J183" s="49" t="str">
        <x:v>A2–B1</x:v>
      </x:c>
      <x:c r="K183" s="49" t="str">
        <x:v>やさしい</x:v>
      </x:c>
      <x:c r="L183" s="49" t="str">
        <x:v>短い返事でOK。選択肢や言い換えあり</x:v>
      </x:c>
      <x:c r="M183" s="49" t="str">
        <x:v>household boundaries and relationship pacing</x:v>
      </x:c>
      <x:c r="N183" s="49" t="str">
        <x:v>one-to-one; contemporary pressure; relationship choice</x:v>
      </x:c>
      <x:c r="O183" s="49" t="str">
        <x:v>intimate, contemporary, and choice-driven</x:v>
      </x:c>
      <x:c r="P183" s="51" t="n">
        <x:v>12</x:v>
      </x:c>
      <x:c r="Q183" s="49" t="str">
        <x:v>agree on privacy and household roles without forced closeness</x:v>
      </x:c>
      <x:c r="R183" s="49" t="str">
        <x:v>both parents leave for a month-long trip tomorrow</x:v>
      </x:c>
      <x:c r="S183" s="49" t="str">
        <x:v>Green</x:v>
      </x:c>
      <x:c r="T183" s="49" t="str">
        <x:v>IES_v7_02_SCENE_CARDS.md#R08</x:v>
      </x:c>
    </x:row>
    <x:row r="184" ht="44" customHeight="1">
      <x:c r="A184" s="49" t="str">
        <x:v>R09</x:v>
      </x:c>
      <x:c r="B184" s="49" t="str">
        <x:v>現代恋愛・再会</x:v>
      </x:c>
      <x:c r="C184" s="49" t="str">
        <x:v>Across the Distance</x:v>
      </x:c>
      <x:c r="D184" s="49" t="str">
        <x:v>遠距離を続けるか</x:v>
      </x:c>
      <x:c r="E184" s="49" t="str">
        <x:v>Present day; a video call after another canceled visit. No supernatural rule is added.</x:v>
      </x:c>
      <x:c r="F184" s="49" t="str">
        <x:v>one partner questioning a long-distance relationship</x:v>
      </x:c>
      <x:c r="G184" s="49" t="str">
        <x:v>Isla Morgan, your partner abroad</x:v>
      </x:c>
      <x:c r="H184" s="49" t="str">
        <x:v>Juniper</x:v>
      </x:c>
      <x:c r="I184" s="49" t="str">
        <x:v>開放的で明るい。相談、再会、親密な会話に合う</x:v>
      </x:c>
      <x:c r="J184" s="49" t="str">
        <x:v>B1–B2</x:v>
      </x:c>
      <x:c r="K184" s="49" t="str">
        <x:v>ふつう</x:v>
      </x:c>
      <x:c r="L184" s="49" t="str">
        <x:v>2〜3文で自然に受け答え</x:v>
      </x:c>
      <x:c r="M184" s="49" t="str">
        <x:v>future planning and emotional honesty</x:v>
      </x:c>
      <x:c r="N184" s="49" t="str">
        <x:v>one-to-one; contemporary pressure; relationship choice</x:v>
      </x:c>
      <x:c r="O184" s="49" t="str">
        <x:v>intimate, contemporary, and choice-driven</x:v>
      </x:c>
      <x:c r="P184" s="51" t="n">
        <x:v>15</x:v>
      </x:c>
      <x:c r="Q184" s="49" t="str">
        <x:v>compare needs and decide on a concrete timeline</x:v>
      </x:c>
      <x:c r="R184" s="49" t="str">
        <x:v>a job offer could extend the distance by two years</x:v>
      </x:c>
      <x:c r="S184" s="49" t="str">
        <x:v>Green</x:v>
      </x:c>
      <x:c r="T184" s="49" t="str">
        <x:v>IES_v7_02_SCENE_CARDS.md#R09</x:v>
      </x:c>
    </x:row>
    <x:row r="185" ht="44" customHeight="1">
      <x:c r="A185" s="49" t="str">
        <x:v>R10</x:v>
      </x:c>
      <x:c r="B185" s="49" t="str">
        <x:v>現代恋愛・再会</x:v>
      </x:c>
      <x:c r="C185" s="49" t="str">
        <x:v>The Ex Next Door</x:v>
      </x:c>
      <x:c r="D185" s="49" t="str">
        <x:v>隣室に引っ越してきた元恋人</x:v>
      </x:c>
      <x:c r="E185" s="49" t="str">
        <x:v>Present day; an apartment hallway on moving day. No supernatural rule is added.</x:v>
      </x:c>
      <x:c r="F185" s="49" t="str">
        <x:v>the resident discovering a former partner is the new neighbor</x:v>
      </x:c>
      <x:c r="G185" s="49" t="str">
        <x:v>Kayla Reed, your ex carrying the final box</x:v>
      </x:c>
      <x:c r="H185" s="49" t="str">
        <x:v>Juniper</x:v>
      </x:c>
      <x:c r="I185" s="49" t="str">
        <x:v>開放的で明るい。相談、再会、親密な会話に合う</x:v>
      </x:c>
      <x:c r="J185" s="49" t="str">
        <x:v>A2–B2</x:v>
      </x:c>
      <x:c r="K185" s="49" t="str">
        <x:v>やさしい</x:v>
      </x:c>
      <x:c r="L185" s="49" t="str">
        <x:v>短い返事でOK。選択肢や言い換えあり</x:v>
      </x:c>
      <x:c r="M185" s="49" t="str">
        <x:v>boundary setting and awkward small talk</x:v>
      </x:c>
      <x:c r="N185" s="49" t="str">
        <x:v>one-to-one; contemporary pressure; relationship choice</x:v>
      </x:c>
      <x:c r="O185" s="49" t="str">
        <x:v>intimate, contemporary, and choice-driven</x:v>
      </x:c>
      <x:c r="P185" s="51" t="n">
        <x:v>10</x:v>
      </x:c>
      <x:c r="Q185" s="49" t="str">
        <x:v>set practical boundaries for unavoidable contact</x:v>
      </x:c>
      <x:c r="R185" s="49" t="str">
        <x:v>the building has shared laundry and a single rooftop garden</x:v>
      </x:c>
      <x:c r="S185" s="49" t="str">
        <x:v>Green</x:v>
      </x:c>
      <x:c r="T185" s="49" t="str">
        <x:v>IES_v7_02_SCENE_CARDS.md#R10</x:v>
      </x:c>
    </x:row>
    <x:row r="186" ht="44" customHeight="1">
      <x:c r="A186" s="49" t="str">
        <x:v>R11</x:v>
      </x:c>
      <x:c r="B186" s="49" t="str">
        <x:v>現代恋愛・再会</x:v>
      </x:c>
      <x:c r="C186" s="49" t="str">
        <x:v>The Accidental Engagement Post</x:v>
      </x:c>
      <x:c r="D186" s="49" t="str">
        <x:v>婚約発表の誤解</x:v>
      </x:c>
      <x:c r="E186" s="49" t="str">
        <x:v>Present day; a private call after a family photo is interpreted online as an engagement. No supernatural rule is added.</x:v>
      </x:c>
      <x:c r="F186" s="49" t="str">
        <x:v>one person in a private relationship</x:v>
      </x:c>
      <x:c r="G186" s="49" t="str">
        <x:v>Sofia Martinez, your partner whose family posted the photo</x:v>
      </x:c>
      <x:c r="H186" s="49" t="str">
        <x:v>Juniper</x:v>
      </x:c>
      <x:c r="I186" s="49" t="str">
        <x:v>開放的で明るい。相談、再会、親密な会話に合う</x:v>
      </x:c>
      <x:c r="J186" s="49" t="str">
        <x:v>B1–B2</x:v>
      </x:c>
      <x:c r="K186" s="49" t="str">
        <x:v>ふつう</x:v>
      </x:c>
      <x:c r="L186" s="49" t="str">
        <x:v>2〜3文で自然に受け答え</x:v>
      </x:c>
      <x:c r="M186" s="49" t="str">
        <x:v>joint messaging and privacy</x:v>
      </x:c>
      <x:c r="N186" s="49" t="str">
        <x:v>one-to-one; contemporary pressure; relationship choice</x:v>
      </x:c>
      <x:c r="O186" s="49" t="str">
        <x:v>intimate, contemporary, and choice-driven</x:v>
      </x:c>
      <x:c r="P186" s="51" t="n">
        <x:v>10</x:v>
      </x:c>
      <x:c r="Q186" s="49" t="str">
        <x:v>agree on what to correct publicly and what to keep private</x:v>
      </x:c>
      <x:c r="R186" s="49" t="str">
        <x:v>congratulations are already arriving from coworkers</x:v>
      </x:c>
      <x:c r="S186" s="49" t="str">
        <x:v>Green</x:v>
      </x:c>
      <x:c r="T186" s="49" t="str">
        <x:v>IES_v7_02_SCENE_CARDS.md#R11</x:v>
      </x:c>
    </x:row>
    <x:row r="187" ht="44" customHeight="1">
      <x:c r="A187" s="49" t="str">
        <x:v>R12</x:v>
      </x:c>
      <x:c r="B187" s="49" t="str">
        <x:v>現代恋愛・再会</x:v>
      </x:c>
      <x:c r="C187" s="49" t="str">
        <x:v>Before the Group Trip</x:v>
      </x:c>
      <x:c r="D187" s="49" t="str">
        <x:v>友達以上を断る旅行前夜</x:v>
      </x:c>
      <x:c r="E187" s="49" t="str">
        <x:v>Present day; a train station cafe the night before a shared vacation. No supernatural rule is added.</x:v>
      </x:c>
      <x:c r="F187" s="49" t="str">
        <x:v>the friend who must respond to growing romantic hints</x:v>
      </x:c>
      <x:c r="G187" s="49" t="str">
        <x:v>Harper James, the friend expecting an answer</x:v>
      </x:c>
      <x:c r="H187" s="49" t="str">
        <x:v>Juniper</x:v>
      </x:c>
      <x:c r="I187" s="49" t="str">
        <x:v>開放的で明るい。相談、再会、親密な会話に合う</x:v>
      </x:c>
      <x:c r="J187" s="49" t="str">
        <x:v>B1–B2</x:v>
      </x:c>
      <x:c r="K187" s="49" t="str">
        <x:v>ふつう</x:v>
      </x:c>
      <x:c r="L187" s="49" t="str">
        <x:v>2〜3文で自然に受け答え</x:v>
      </x:c>
      <x:c r="M187" s="49" t="str">
        <x:v>kind refusal and practical planning</x:v>
      </x:c>
      <x:c r="N187" s="49" t="str">
        <x:v>one-to-one; contemporary pressure; relationship choice</x:v>
      </x:c>
      <x:c r="O187" s="49" t="str">
        <x:v>intimate, contemporary, and choice-driven</x:v>
      </x:c>
      <x:c r="P187" s="51" t="n">
        <x:v>12</x:v>
      </x:c>
      <x:c r="Q187" s="49" t="str">
        <x:v>clarify the relationship without ruining the trip for everyone</x:v>
      </x:c>
      <x:c r="R187" s="49" t="str">
        <x:v>tickets and shared rooms are nonrefundable</x:v>
      </x:c>
      <x:c r="S187" s="49" t="str">
        <x:v>Green</x:v>
      </x:c>
      <x:c r="T187" s="49" t="str">
        <x:v>IES_v7_02_SCENE_CARDS.md#R12</x:v>
      </x:c>
    </x:row>
    <x:row r="188" ht="44" customHeight="1">
      <x:c r="A188" s="49" t="str">
        <x:v>R13</x:v>
      </x:c>
      <x:c r="B188" s="49" t="str">
        <x:v>現代恋愛・再会</x:v>
      </x:c>
      <x:c r="C188" s="49" t="str">
        <x:v>Before Signing</x:v>
      </x:c>
      <x:c r="D188" s="49" t="str">
        <x:v>離婚届の前の最後の会話</x:v>
      </x:c>
      <x:c r="E188" s="49" t="str">
        <x:v>Present day; a mediator's waiting room. No supernatural rule is added.</x:v>
      </x:c>
      <x:c r="F188" s="49" t="str">
        <x:v>one spouse preparing to finalize a separation</x:v>
      </x:c>
      <x:c r="G188" s="49" t="str">
        <x:v>Claire Bennett, your estranged wife</x:v>
      </x:c>
      <x:c r="H188" s="49" t="str">
        <x:v>Juniper</x:v>
      </x:c>
      <x:c r="I188" s="49" t="str">
        <x:v>開放的で明るい。相談、再会、親密な会話に合う</x:v>
      </x:c>
      <x:c r="J188" s="49" t="str">
        <x:v>B2–C1</x:v>
      </x:c>
      <x:c r="K188" s="49" t="str">
        <x:v>しっかり</x:v>
      </x:c>
      <x:c r="L188" s="49" t="str">
        <x:v>理由説明や交渉まで</x:v>
      </x:c>
      <x:c r="M188" s="49" t="str">
        <x:v>closure, boundaries, and concrete agreements</x:v>
      </x:c>
      <x:c r="N188" s="49" t="str">
        <x:v>one-to-one; contemporary pressure; relationship choice</x:v>
      </x:c>
      <x:c r="O188" s="49" t="str">
        <x:v>intimate, contemporary, and choice-driven</x:v>
      </x:c>
      <x:c r="P188" s="51" t="n">
        <x:v>15</x:v>
      </x:c>
      <x:c r="Q188" s="49" t="str">
        <x:v>clarify unresolved practical and emotional issues without reopening coercive debate</x:v>
      </x:c>
      <x:c r="R188" s="49" t="str">
        <x:v>the appointment begins in twenty minutes</x:v>
      </x:c>
      <x:c r="S188" s="49" t="str">
        <x:v>Green</x:v>
      </x:c>
      <x:c r="T188" s="49" t="str">
        <x:v>IES_v7_02_SCENE_CARDS.md#R13</x:v>
      </x:c>
    </x:row>
    <x:row r="189" ht="44" customHeight="1">
      <x:c r="A189" s="49" t="str">
        <x:v>R14</x:v>
      </x:c>
      <x:c r="B189" s="49" t="str">
        <x:v>現代恋愛・再会</x:v>
      </x:c>
      <x:c r="C189" s="49" t="str">
        <x:v>The Anonymous Letter</x:v>
      </x:c>
      <x:c r="D189" s="49" t="str">
        <x:v>匿名の恋文の送り主</x:v>
      </x:c>
      <x:c r="E189" s="49" t="str">
        <x:v>Present day; a public garden after months of unsigned letters. No supernatural rule is added.</x:v>
      </x:c>
      <x:c r="F189" s="49" t="str">
        <x:v>the recipient meeting the suspected writer</x:v>
      </x:c>
      <x:c r="G189" s="49" t="str">
        <x:v>Nora Patel, a quiet colleague who asked to speak privately</x:v>
      </x:c>
      <x:c r="H189" s="49" t="str">
        <x:v>Juniper</x:v>
      </x:c>
      <x:c r="I189" s="49" t="str">
        <x:v>開放的で明るい。相談、再会、親密な会話に合う</x:v>
      </x:c>
      <x:c r="J189" s="49" t="str">
        <x:v>B1–B2</x:v>
      </x:c>
      <x:c r="K189" s="49" t="str">
        <x:v>ふつう</x:v>
      </x:c>
      <x:c r="L189" s="49" t="str">
        <x:v>2〜3文で自然に受け答え</x:v>
      </x:c>
      <x:c r="M189" s="49" t="str">
        <x:v>careful confrontation and consent</x:v>
      </x:c>
      <x:c r="N189" s="49" t="str">
        <x:v>one-to-one; contemporary pressure; relationship choice</x:v>
      </x:c>
      <x:c r="O189" s="49" t="str">
        <x:v>intimate, contemporary, and choice-driven</x:v>
      </x:c>
      <x:c r="P189" s="51" t="n">
        <x:v>12</x:v>
      </x:c>
      <x:c r="Q189" s="49" t="str">
        <x:v>verify the truth and state what contact is welcome</x:v>
      </x:c>
      <x:c r="R189" s="49" t="str">
        <x:v>the letters contain details only someone close would know</x:v>
      </x:c>
      <x:c r="S189" s="49" t="str">
        <x:v>Green</x:v>
      </x:c>
      <x:c r="T189" s="49" t="str">
        <x:v>IES_v7_02_SCENE_CARDS.md#R14</x:v>
      </x:c>
    </x:row>
    <x:row r="190" ht="44" customHeight="1">
      <x:c r="A190" s="49" t="str">
        <x:v>R15</x:v>
      </x:c>
      <x:c r="B190" s="49" t="str">
        <x:v>現代恋愛・再会</x:v>
      </x:c>
      <x:c r="C190" s="49" t="str">
        <x:v>The Wedding Reunion</x:v>
      </x:c>
      <x:c r="D190" s="49" t="str">
        <x:v>友人の結婚式で再会</x:v>
      </x:c>
      <x:c r="E190" s="49" t="str">
        <x:v>Present day; a hotel terrace during a mutual friend's wedding. No supernatural rule is added.</x:v>
      </x:c>
      <x:c r="F190" s="49" t="str">
        <x:v>the guest encountering a former almost-relationship</x:v>
      </x:c>
      <x:c r="G190" s="49" t="str">
        <x:v>Amelia Ross, the person who left without explanation</x:v>
      </x:c>
      <x:c r="H190" s="49" t="str">
        <x:v>Juniper</x:v>
      </x:c>
      <x:c r="I190" s="49" t="str">
        <x:v>開放的で明るい。相談、再会、親密な会話に合う</x:v>
      </x:c>
      <x:c r="J190" s="49" t="str">
        <x:v>B1–B2</x:v>
      </x:c>
      <x:c r="K190" s="49" t="str">
        <x:v>ふつう</x:v>
      </x:c>
      <x:c r="L190" s="49" t="str">
        <x:v>2〜3文で自然に受け答え</x:v>
      </x:c>
      <x:c r="M190" s="49" t="str">
        <x:v>reunion questions and choice framing</x:v>
      </x:c>
      <x:c r="N190" s="49" t="str">
        <x:v>one-to-one; contemporary pressure; relationship choice</x:v>
      </x:c>
      <x:c r="O190" s="49" t="str">
        <x:v>intimate, contemporary, and choice-driven</x:v>
      </x:c>
      <x:c r="P190" s="51" t="n">
        <x:v>12</x:v>
      </x:c>
      <x:c r="Q190" s="49" t="str">
        <x:v>decide whether to revisit the past or keep the evening simple</x:v>
      </x:c>
      <x:c r="R190" s="49" t="str">
        <x:v>you are paired for a wedding task in ten minutes</x:v>
      </x:c>
      <x:c r="S190" s="49" t="str">
        <x:v>Green</x:v>
      </x:c>
      <x:c r="T190" s="49" t="str">
        <x:v>IES_v7_02_SCENE_CARDS.md#R15</x:v>
      </x:c>
    </x:row>
    <x:row r="191" ht="44" customHeight="1">
      <x:c r="A191" s="49" t="str">
        <x:v>R16</x:v>
      </x:c>
      <x:c r="B191" s="49" t="str">
        <x:v>現代恋愛・再会</x:v>
      </x:c>
      <x:c r="C191" s="49" t="str">
        <x:v>The Guest Who Never Leaves</x:v>
      </x:c>
      <x:c r="D191" s="49" t="str">
        <x:v>ルームメイトの恋人問題</x:v>
      </x:c>
      <x:c r="E191" s="49" t="str">
        <x:v>Present day; a shared apartment after repeated overnight visits. No supernatural rule is added.</x:v>
      </x:c>
      <x:c r="F191" s="49" t="str">
        <x:v>the tenant raising a household concern</x:v>
      </x:c>
      <x:c r="G191" s="49" t="str">
        <x:v>Roommate Chloe Davis, defensive about her new relationship</x:v>
      </x:c>
      <x:c r="H191" s="49" t="str">
        <x:v>Juniper</x:v>
      </x:c>
      <x:c r="I191" s="49" t="str">
        <x:v>開放的で明るい。相談、再会、親密な会話に合う</x:v>
      </x:c>
      <x:c r="J191" s="49" t="str">
        <x:v>A2–B1</x:v>
      </x:c>
      <x:c r="K191" s="49" t="str">
        <x:v>やさしい</x:v>
      </x:c>
      <x:c r="L191" s="49" t="str">
        <x:v>短い返事でOK。選択肢や言い換えあり</x:v>
      </x:c>
      <x:c r="M191" s="49" t="str">
        <x:v>nonjudgmental boundaries and compromise</x:v>
      </x:c>
      <x:c r="N191" s="49" t="str">
        <x:v>one-to-one; contemporary pressure; relationship choice</x:v>
      </x:c>
      <x:c r="O191" s="49" t="str">
        <x:v>intimate, contemporary, and choice-driven</x:v>
      </x:c>
      <x:c r="P191" s="51" t="n">
        <x:v>10</x:v>
      </x:c>
      <x:c r="Q191" s="49" t="str">
        <x:v>describe the impact and negotiate guest rules without judging her partner</x:v>
      </x:c>
      <x:c r="R191" s="49" t="str">
        <x:v>rent renewal is due this week</x:v>
      </x:c>
      <x:c r="S191" s="49" t="str">
        <x:v>Green</x:v>
      </x:c>
      <x:c r="T191" s="49" t="str">
        <x:v>IES_v7_02_SCENE_CARDS.md#R16</x:v>
      </x:c>
    </x:row>
    <x:row r="192" ht="44" customHeight="1">
      <x:c r="A192" s="49" t="str">
        <x:v>R17</x:v>
      </x:c>
      <x:c r="B192" s="49" t="str">
        <x:v>現代恋愛・再会</x:v>
      </x:c>
      <x:c r="C192" s="49" t="str">
        <x:v>The Active Dating Profile</x:v>
      </x:c>
      <x:c r="D192" s="49" t="str">
        <x:v>恋人のマッチングアプリ</x:v>
      </x:c>
      <x:c r="E192" s="49" t="str">
        <x:v>Present day; a private conversation after finding a partner's current dating profile. No supernatural rule is added.</x:v>
      </x:c>
      <x:c r="F192" s="49" t="str">
        <x:v>the partner seeking an explanation</x:v>
      </x:c>
      <x:c r="G192" s="49" t="str">
        <x:v>Eva Wilson, your girlfriend who says the account is inactive</x:v>
      </x:c>
      <x:c r="H192" s="49" t="str">
        <x:v>Juniper</x:v>
      </x:c>
      <x:c r="I192" s="49" t="str">
        <x:v>開放的で明るい。相談、再会、親密な会話に合う</x:v>
      </x:c>
      <x:c r="J192" s="49" t="str">
        <x:v>B1–B2</x:v>
      </x:c>
      <x:c r="K192" s="49" t="str">
        <x:v>ふつう</x:v>
      </x:c>
      <x:c r="L192" s="49" t="str">
        <x:v>2〜3文で自然に受け答え</x:v>
      </x:c>
      <x:c r="M192" s="49" t="str">
        <x:v>relationship confrontation and evidence</x:v>
      </x:c>
      <x:c r="N192" s="49" t="str">
        <x:v>one-to-one; contemporary pressure; relationship choice</x:v>
      </x:c>
      <x:c r="O192" s="49" t="str">
        <x:v>intimate, contemporary, and choice-driven</x:v>
      </x:c>
      <x:c r="P192" s="51" t="n">
        <x:v>12</x:v>
      </x:c>
      <x:c r="Q192" s="49" t="str">
        <x:v>ask for facts and decide what trust requires</x:v>
      </x:c>
      <x:c r="R192" s="49" t="str">
        <x:v>the app shows a recent location update</x:v>
      </x:c>
      <x:c r="S192" s="49" t="str">
        <x:v>Green</x:v>
      </x:c>
      <x:c r="T192" s="49" t="str">
        <x:v>IES_v7_02_SCENE_CARDS.md#R17</x:v>
      </x:c>
    </x:row>
    <x:row r="193" ht="44" customHeight="1">
      <x:c r="A193" s="49" t="str">
        <x:v>R18</x:v>
      </x:c>
      <x:c r="B193" s="49" t="str">
        <x:v>現代恋愛・再会</x:v>
      </x:c>
      <x:c r="C193" s="49" t="str">
        <x:v>The Offer Abroad</x:v>
      </x:c>
      <x:c r="D193" s="49" t="str">
        <x:v>結婚より先に仕事を選ぶ</x:v>
      </x:c>
      <x:c r="E193" s="49" t="str">
        <x:v>Present day; a home dinner after one partner receives a major overseas offer. No supernatural rule is added.</x:v>
      </x:c>
      <x:c r="F193" s="49" t="str">
        <x:v>the person affected by the possible move</x:v>
      </x:c>
      <x:c r="G193" s="49" t="str">
        <x:v>Lena Thomas, your partner and the job candidate</x:v>
      </x:c>
      <x:c r="H193" s="49" t="str">
        <x:v>Juniper</x:v>
      </x:c>
      <x:c r="I193" s="49" t="str">
        <x:v>開放的で明るい。相談、再会、親密な会話に合う</x:v>
      </x:c>
      <x:c r="J193" s="49" t="str">
        <x:v>B1–C1</x:v>
      </x:c>
      <x:c r="K193" s="49" t="str">
        <x:v>ふつう</x:v>
      </x:c>
      <x:c r="L193" s="49" t="str">
        <x:v>2〜3文で自然に受け答え</x:v>
      </x:c>
      <x:c r="M193" s="49" t="str">
        <x:v>future negotiation and competing priorities</x:v>
      </x:c>
      <x:c r="N193" s="49" t="str">
        <x:v>one-to-one; contemporary pressure; relationship choice</x:v>
      </x:c>
      <x:c r="O193" s="49" t="str">
        <x:v>intimate, contemporary, and choice-driven</x:v>
      </x:c>
      <x:c r="P193" s="51" t="n">
        <x:v>15</x:v>
      </x:c>
      <x:c r="Q193" s="49" t="str">
        <x:v>discuss careers, commitment, and alternatives without ultimatums</x:v>
      </x:c>
      <x:c r="R193" s="49" t="str">
        <x:v>the offer requires a decision in forty-eight hours</x:v>
      </x:c>
      <x:c r="S193" s="49" t="str">
        <x:v>Green</x:v>
      </x:c>
      <x:c r="T193" s="49" t="str">
        <x:v>IES_v7_02_SCENE_CARDS.md#R18</x:v>
      </x:c>
    </x:row>
    <x:row r="194" ht="44" customHeight="1">
      <x:c r="A194" s="49" t="str">
        <x:v>R19</x:v>
      </x:c>
      <x:c r="B194" s="49" t="str">
        <x:v>現代恋愛・再会</x:v>
      </x:c>
      <x:c r="C194" s="49" t="str">
        <x:v>Starting Again as Friends</x:v>
      </x:c>
      <x:c r="D194" s="49" t="str">
        <x:v>初恋の続きは友達から</x:v>
      </x:c>
      <x:c r="E194" s="49" t="str">
        <x:v>Present day; a riverside walk after reconnecting with a first love. No supernatural rule is added.</x:v>
      </x:c>
      <x:c r="F194" s="49" t="str">
        <x:v>the person asked to restart slowly</x:v>
      </x:c>
      <x:c r="G194" s="49" t="str">
        <x:v>Mia Anderson, your childhood friend and former crush</x:v>
      </x:c>
      <x:c r="H194" s="49" t="str">
        <x:v>Juniper</x:v>
      </x:c>
      <x:c r="I194" s="49" t="str">
        <x:v>開放的で明るい。相談、再会、親密な会話に合う</x:v>
      </x:c>
      <x:c r="J194" s="49" t="str">
        <x:v>A2–B2</x:v>
      </x:c>
      <x:c r="K194" s="49" t="str">
        <x:v>やさしい</x:v>
      </x:c>
      <x:c r="L194" s="49" t="str">
        <x:v>短い返事でOK。選択肢や言い換えあり</x:v>
      </x:c>
      <x:c r="M194" s="49" t="str">
        <x:v>relationship expectations and gentle honesty</x:v>
      </x:c>
      <x:c r="N194" s="49" t="str">
        <x:v>one-to-one; contemporary pressure; relationship choice</x:v>
      </x:c>
      <x:c r="O194" s="49" t="str">
        <x:v>intimate, contemporary, and choice-driven</x:v>
      </x:c>
      <x:c r="P194" s="51" t="n">
        <x:v>12</x:v>
      </x:c>
      <x:c r="Q194" s="49" t="str">
        <x:v>define what friendship means now and set a pace</x:v>
      </x:c>
      <x:c r="R194" s="49" t="str">
        <x:v>Mia is moving back permanently next month</x:v>
      </x:c>
      <x:c r="S194" s="49" t="str">
        <x:v>Green</x:v>
      </x:c>
      <x:c r="T194" s="49" t="str">
        <x:v>IES_v7_02_SCENE_CARDS.md#R19</x:v>
      </x:c>
    </x:row>
    <x:row r="195" ht="44" customHeight="1">
      <x:c r="A195" s="49" t="str">
        <x:v>R20</x:v>
      </x:c>
      <x:c r="B195" s="49" t="str">
        <x:v>現代恋愛・再会</x:v>
      </x:c>
      <x:c r="C195" s="49" t="str">
        <x:v>Meeting Her Family</x:v>
      </x:c>
      <x:c r="D195" s="49" t="str">
        <x:v>恋人の家族に紹介される夜</x:v>
      </x:c>
      <x:c r="E195" s="49" t="str">
        <x:v>Present day; a restaurant lobby before a family dinner. No supernatural rule is added.</x:v>
      </x:c>
      <x:c r="F195" s="49" t="str">
        <x:v>the partner anxious about a first introduction</x:v>
      </x:c>
      <x:c r="G195" s="49" t="str">
        <x:v>Olivia Clark, your girlfriend</x:v>
      </x:c>
      <x:c r="H195" s="49" t="str">
        <x:v>Juniper</x:v>
      </x:c>
      <x:c r="I195" s="49" t="str">
        <x:v>開放的で明るい。相談、再会、親密な会話に合う</x:v>
      </x:c>
      <x:c r="J195" s="49" t="str">
        <x:v>A2–B1</x:v>
      </x:c>
      <x:c r="K195" s="49" t="str">
        <x:v>やさしい</x:v>
      </x:c>
      <x:c r="L195" s="49" t="str">
        <x:v>短い返事でOK。選択肢や言い換えあり</x:v>
      </x:c>
      <x:c r="M195" s="49" t="str">
        <x:v>preparation, boundaries, and reassurance</x:v>
      </x:c>
      <x:c r="N195" s="49" t="str">
        <x:v>one-to-one; contemporary pressure; relationship choice</x:v>
      </x:c>
      <x:c r="O195" s="49" t="str">
        <x:v>intimate, contemporary, and choice-driven</x:v>
      </x:c>
      <x:c r="P195" s="51" t="n">
        <x:v>10</x:v>
      </x:c>
      <x:c r="Q195" s="49" t="str">
        <x:v>agree on what to disclose and how to handle intrusive questions</x:v>
      </x:c>
      <x:c r="R195" s="49" t="str">
        <x:v>one family member believes you are only a coworker</x:v>
      </x:c>
      <x:c r="S195" s="49" t="str">
        <x:v>Green</x:v>
      </x:c>
      <x:c r="T195" s="49" t="str">
        <x:v>IES_v7_02_SCENE_CARDS.md#R20</x:v>
      </x:c>
    </x:row>
    <x:row r="196" ht="44" customHeight="1">
      <x:c r="A196" s="49" t="str">
        <x:v>R21</x:v>
      </x:c>
      <x:c r="B196" s="49" t="str">
        <x:v>現代恋愛・再会</x:v>
      </x:c>
      <x:c r="C196" s="49" t="str">
        <x:v>Leaving the Shared Apartment</x:v>
      </x:c>
      <x:c r="D196" s="49" t="str">
        <x:v>共同名義の部屋を出る</x:v>
      </x:c>
      <x:c r="E196" s="49" t="str">
        <x:v>Present day; an almost-empty apartment during a breakup move. No supernatural rule is added.</x:v>
      </x:c>
      <x:c r="F196" s="49" t="str">
        <x:v>the partner dividing possessions and obligations</x:v>
      </x:c>
      <x:c r="G196" s="49" t="str">
        <x:v>Ariana Moore, your former partner</x:v>
      </x:c>
      <x:c r="H196" s="49" t="str">
        <x:v>Juniper</x:v>
      </x:c>
      <x:c r="I196" s="49" t="str">
        <x:v>開放的で明るい。相談、再会、親密な会話に合う</x:v>
      </x:c>
      <x:c r="J196" s="49" t="str">
        <x:v>B1–B2</x:v>
      </x:c>
      <x:c r="K196" s="49" t="str">
        <x:v>ふつう</x:v>
      </x:c>
      <x:c r="L196" s="49" t="str">
        <x:v>2〜3文で自然に受け答え</x:v>
      </x:c>
      <x:c r="M196" s="49" t="str">
        <x:v>practical negotiation under emotion</x:v>
      </x:c>
      <x:c r="N196" s="49" t="str">
        <x:v>one-to-one; contemporary pressure; relationship choice</x:v>
      </x:c>
      <x:c r="O196" s="49" t="str">
        <x:v>intimate, contemporary, and choice-driven</x:v>
      </x:c>
      <x:c r="P196" s="51" t="n">
        <x:v>12</x:v>
      </x:c>
      <x:c r="Q196" s="49" t="str">
        <x:v>settle the lease, shared items, and future contact fairly</x:v>
      </x:c>
      <x:c r="R196" s="49" t="str">
        <x:v>the landlord arrives in one hour for signatures</x:v>
      </x:c>
      <x:c r="S196" s="49" t="str">
        <x:v>Green</x:v>
      </x:c>
      <x:c r="T196" s="49" t="str">
        <x:v>IES_v7_02_SCENE_CARDS.md#R21</x:v>
      </x:c>
    </x:row>
    <x:row r="197" ht="44" customHeight="1">
      <x:c r="A197" s="49" t="str">
        <x:v>R22</x:v>
      </x:c>
      <x:c r="B197" s="49" t="str">
        <x:v>現代恋愛・再会</x:v>
      </x:c>
      <x:c r="C197" s="49" t="str">
        <x:v>The Relationship for the Camera</x:v>
      </x:c>
      <x:c r="D197" s="49" t="str">
        <x:v>写真の中だけの恋人</x:v>
      </x:c>
      <x:c r="E197" s="49" t="str">
        <x:v>Present day; a quiet street after a couple's social-media brand becomes successful. No supernatural rule is added.</x:v>
      </x:c>
      <x:c r="F197" s="49" t="str">
        <x:v>one partner tired of performing intimacy</x:v>
      </x:c>
      <x:c r="G197" s="49" t="str">
        <x:v>Influencer Grace Hall, your public partner</x:v>
      </x:c>
      <x:c r="H197" s="49" t="str">
        <x:v>Juniper</x:v>
      </x:c>
      <x:c r="I197" s="49" t="str">
        <x:v>開放的で明るい。相談、再会、親密な会話に合う</x:v>
      </x:c>
      <x:c r="J197" s="49" t="str">
        <x:v>B2–C1</x:v>
      </x:c>
      <x:c r="K197" s="49" t="str">
        <x:v>しっかり</x:v>
      </x:c>
      <x:c r="L197" s="49" t="str">
        <x:v>理由説明や交渉まで</x:v>
      </x:c>
      <x:c r="M197" s="49" t="str">
        <x:v>authenticity, contract, and emotional boundaries</x:v>
      </x:c>
      <x:c r="N197" s="49" t="str">
        <x:v>one-to-one; contemporary pressure; relationship choice</x:v>
      </x:c>
      <x:c r="O197" s="49" t="str">
        <x:v>intimate, contemporary, and choice-driven</x:v>
      </x:c>
      <x:c r="P197" s="51" t="n">
        <x:v>15</x:v>
      </x:c>
      <x:c r="Q197" s="49" t="str">
        <x:v>separate the real relationship from the online version</x:v>
      </x:c>
      <x:c r="R197" s="49" t="str">
        <x:v>a sponsored proposal video is scheduled tomorrow</x:v>
      </x:c>
      <x:c r="S197" s="49" t="str">
        <x:v>Green</x:v>
      </x:c>
      <x:c r="T197" s="49" t="str">
        <x:v>IES_v7_02_SCENE_CARDS.md#R22</x:v>
      </x:c>
    </x:row>
    <x:row r="198" ht="44" customHeight="1">
      <x:c r="A198" s="49" t="str">
        <x:v>H01</x:v>
      </x:c>
      <x:c r="B198" s="49" t="str">
        <x:v>家族・近隣・日常</x:v>
      </x:c>
      <x:c r="C198" s="49" t="str">
        <x:v>The Midnight Noise</x:v>
      </x:c>
      <x:c r="D198" s="49" t="str">
        <x:v>隣人の深夜騒音</x:v>
      </x:c>
      <x:c r="E198" s="49" t="str">
        <x:v>Present day; an apartment hallway after repeated sleep disruption. No supernatural rule is added.</x:v>
      </x:c>
      <x:c r="F198" s="49" t="str">
        <x:v>the resident confronting a neighbor directly</x:v>
      </x:c>
      <x:c r="G198" s="49" t="str">
        <x:v>Neighbor Maya Foster, unaware of how far the sound travels</x:v>
      </x:c>
      <x:c r="H198" s="49" t="str">
        <x:v>Juniper</x:v>
      </x:c>
      <x:c r="I198" s="49" t="str">
        <x:v>開放的で明るい。相談、再会、親密な会話に合う</x:v>
      </x:c>
      <x:c r="J198" s="49" t="str">
        <x:v>A2–B1</x:v>
      </x:c>
      <x:c r="K198" s="49" t="str">
        <x:v>やさしい</x:v>
      </x:c>
      <x:c r="L198" s="49" t="str">
        <x:v>短い返事でOK。選択肢や言い換えあり</x:v>
      </x:c>
      <x:c r="M198" s="49" t="str">
        <x:v>neighborly negotiation and compromise</x:v>
      </x:c>
      <x:c r="N198" s="49" t="str">
        <x:v>one-to-one; contemporary pressure; relationship choice</x:v>
      </x:c>
      <x:c r="O198" s="49" t="str">
        <x:v>domestic, recognizable, and quietly consequential</x:v>
      </x:c>
      <x:c r="P198" s="51" t="n">
        <x:v>10</x:v>
      </x:c>
      <x:c r="Q198" s="49" t="str">
        <x:v>describe the impact and agree on testable quiet-hour rules</x:v>
      </x:c>
      <x:c r="R198" s="49" t="str">
        <x:v>both of you have already complained to management</x:v>
      </x:c>
      <x:c r="S198" s="49" t="str">
        <x:v>Green</x:v>
      </x:c>
      <x:c r="T198" s="49" t="str">
        <x:v>IES_v7_02_SCENE_CARDS.md#H01</x:v>
      </x:c>
    </x:row>
    <x:row r="199" ht="44" customHeight="1">
      <x:c r="A199" s="49" t="str">
        <x:v>H02</x:v>
      </x:c>
      <x:c r="B199" s="49" t="str">
        <x:v>家族・近隣・日常</x:v>
      </x:c>
      <x:c r="C199" s="49" t="str">
        <x:v>The Care Schedule</x:v>
      </x:c>
      <x:c r="D199" s="49" t="str">
        <x:v>家族会議の介護分担</x:v>
      </x:c>
      <x:c r="E199" s="49" t="str">
        <x:v>Present day; a family kitchen while planning support for an aging parent. No supernatural rule is added.</x:v>
      </x:c>
      <x:c r="F199" s="49" t="str">
        <x:v>the sibling asked to take most responsibilities</x:v>
      </x:c>
      <x:c r="G199" s="49" t="str">
        <x:v>Sister Elena Brooks, who believes her workload is already heavier</x:v>
      </x:c>
      <x:c r="H199" s="49" t="str">
        <x:v>Juniper</x:v>
      </x:c>
      <x:c r="I199" s="49" t="str">
        <x:v>開放的で明るい。相談、再会、親密な会話に合う</x:v>
      </x:c>
      <x:c r="J199" s="49" t="str">
        <x:v>B1–B2</x:v>
      </x:c>
      <x:c r="K199" s="49" t="str">
        <x:v>ふつう</x:v>
      </x:c>
      <x:c r="L199" s="49" t="str">
        <x:v>2〜3文で自然に受け答え</x:v>
      </x:c>
      <x:c r="M199" s="49" t="str">
        <x:v>family negotiation and concrete commitments</x:v>
      </x:c>
      <x:c r="N199" s="49" t="str">
        <x:v>one-to-one; contemporary pressure; relationship choice</x:v>
      </x:c>
      <x:c r="O199" s="49" t="str">
        <x:v>domestic, recognizable, and quietly consequential</x:v>
      </x:c>
      <x:c r="P199" s="51" t="n">
        <x:v>15</x:v>
      </x:c>
      <x:c r="Q199" s="49" t="str">
        <x:v>make invisible work explicit and agree on a fair schedule</x:v>
      </x:c>
      <x:c r="R199" s="49" t="str">
        <x:v>a medical appointment is tomorrow morning</x:v>
      </x:c>
      <x:c r="S199" s="49" t="str">
        <x:v>Green</x:v>
      </x:c>
      <x:c r="T199" s="49" t="str">
        <x:v>IES_v7_02_SCENE_CARDS.md#H02</x:v>
      </x:c>
    </x:row>
    <x:row r="200" ht="44" customHeight="1">
      <x:c r="A200" s="49" t="str">
        <x:v>H03</x:v>
      </x:c>
      <x:c r="B200" s="49" t="str">
        <x:v>家族・近隣・日常</x:v>
      </x:c>
      <x:c r="C200" s="49" t="str">
        <x:v>The Dog with Two Names</x:v>
      </x:c>
      <x:c r="D200" s="49" t="str">
        <x:v>迷子の犬と飼い主候補</x:v>
      </x:c>
      <x:c r="E200" s="49" t="str">
        <x:v>Present day; a neighborhood park after two people claim the same lost dog. No supernatural rule is added.</x:v>
      </x:c>
      <x:c r="F200" s="49" t="str">
        <x:v>the person who found the dog</x:v>
      </x:c>
      <x:c r="G200" s="49" t="str">
        <x:v>Rachel Kim, one claimant with convincing photos</x:v>
      </x:c>
      <x:c r="H200" s="49" t="str">
        <x:v>Juniper</x:v>
      </x:c>
      <x:c r="I200" s="49" t="str">
        <x:v>開放的で明るい。相談、再会、親密な会話に合う</x:v>
      </x:c>
      <x:c r="J200" s="49" t="str">
        <x:v>A2–B1</x:v>
      </x:c>
      <x:c r="K200" s="49" t="str">
        <x:v>やさしい</x:v>
      </x:c>
      <x:c r="L200" s="49" t="str">
        <x:v>短い返事でOK。選択肢や言い換えあり</x:v>
      </x:c>
      <x:c r="M200" s="49" t="str">
        <x:v>evidence questions and calm mediation</x:v>
      </x:c>
      <x:c r="N200" s="49" t="str">
        <x:v>one-to-one; contemporary pressure; relationship choice</x:v>
      </x:c>
      <x:c r="O200" s="49" t="str">
        <x:v>domestic, recognizable, and quietly consequential</x:v>
      </x:c>
      <x:c r="P200" s="51" t="n">
        <x:v>10</x:v>
      </x:c>
      <x:c r="Q200" s="49" t="str">
        <x:v>verify ownership without escalating conflict</x:v>
      </x:c>
      <x:c r="R200" s="49" t="str">
        <x:v>the dog's microchip service is temporarily offline</x:v>
      </x:c>
      <x:c r="S200" s="49" t="str">
        <x:v>Green</x:v>
      </x:c>
      <x:c r="T200" s="49" t="str">
        <x:v>IES_v7_02_SCENE_CARDS.md#H03</x:v>
      </x:c>
    </x:row>
    <x:row r="201" ht="44" customHeight="1">
      <x:c r="A201" s="49" t="str">
        <x:v>H04</x:v>
      </x:c>
      <x:c r="B201" s="49" t="str">
        <x:v>家族・近隣・日常</x:v>
      </x:c>
      <x:c r="C201" s="49" t="str">
        <x:v>Cancel the Street Festival?</x:v>
      </x:c>
      <x:c r="D201" s="49" t="str">
        <x:v>町内会の祭り中止案</x:v>
      </x:c>
      <x:c r="E201" s="49" t="str">
        <x:v>Present day; a community-center planning meeting. No supernatural rule is added.</x:v>
      </x:c>
      <x:c r="F201" s="49" t="str">
        <x:v>the volunteer responsible for safety</x:v>
      </x:c>
      <x:c r="G201" s="49" t="str">
        <x:v>Chairwoman Lisa Grant, determined to continue the annual festival</x:v>
      </x:c>
      <x:c r="H201" s="49" t="str">
        <x:v>Juniper</x:v>
      </x:c>
      <x:c r="I201" s="49" t="str">
        <x:v>開放的で明るい。相談、再会、親密な会話に合う</x:v>
      </x:c>
      <x:c r="J201" s="49" t="str">
        <x:v>B1–B2</x:v>
      </x:c>
      <x:c r="K201" s="49" t="str">
        <x:v>ふつう</x:v>
      </x:c>
      <x:c r="L201" s="49" t="str">
        <x:v>2〜3文で自然に受け答え</x:v>
      </x:c>
      <x:c r="M201" s="49" t="str">
        <x:v>community persuasion and alternatives</x:v>
      </x:c>
      <x:c r="N201" s="49" t="str">
        <x:v>one-to-one; contemporary pressure; relationship choice</x:v>
      </x:c>
      <x:c r="O201" s="49" t="str">
        <x:v>domestic, recognizable, and quietly consequential</x:v>
      </x:c>
      <x:c r="P201" s="51" t="n">
        <x:v>12</x:v>
      </x:c>
      <x:c r="Q201" s="49" t="str">
        <x:v>present the risk and propose a smaller alternative</x:v>
      </x:c>
      <x:c r="R201" s="49" t="str">
        <x:v>vendors will lose deposits if the decision waits another day</x:v>
      </x:c>
      <x:c r="S201" s="49" t="str">
        <x:v>Green</x:v>
      </x:c>
      <x:c r="T201" s="49" t="str">
        <x:v>IES_v7_02_SCENE_CARDS.md#H04</x:v>
      </x:c>
    </x:row>
    <x:row r="202" ht="44" customHeight="1">
      <x:c r="A202" s="49" t="str">
        <x:v>H05</x:v>
      </x:c>
      <x:c r="B202" s="49" t="str">
        <x:v>家族・近隣・日常</x:v>
      </x:c>
      <x:c r="C202" s="49" t="str">
        <x:v>The Box from the Attic</x:v>
      </x:c>
      <x:c r="D202" s="49" t="str">
        <x:v>姉妹で分ける遺品</x:v>
      </x:c>
      <x:c r="E202" s="49" t="str">
        <x:v>Present day; a family home after a funeral. No supernatural rule is added.</x:v>
      </x:c>
      <x:c r="F202" s="49" t="str">
        <x:v>the sibling sorting meaningful belongings</x:v>
      </x:c>
      <x:c r="G202" s="49" t="str">
        <x:v>Sister Hannah Cole, who wants one item you also value</x:v>
      </x:c>
      <x:c r="H202" s="49" t="str">
        <x:v>Juniper</x:v>
      </x:c>
      <x:c r="I202" s="49" t="str">
        <x:v>開放的で明るい。相談、再会、親密な会話に合う</x:v>
      </x:c>
      <x:c r="J202" s="49" t="str">
        <x:v>B1–B2</x:v>
      </x:c>
      <x:c r="K202" s="49" t="str">
        <x:v>ふつう</x:v>
      </x:c>
      <x:c r="L202" s="49" t="str">
        <x:v>2〜3文で自然に受け答え</x:v>
      </x:c>
      <x:c r="M202" s="49" t="str">
        <x:v>emotional explanation and fair process</x:v>
      </x:c>
      <x:c r="N202" s="49" t="str">
        <x:v>one-to-one; contemporary pressure; relationship choice</x:v>
      </x:c>
      <x:c r="O202" s="49" t="str">
        <x:v>domestic, recognizable, and quietly consequential</x:v>
      </x:c>
      <x:c r="P202" s="51" t="n">
        <x:v>12</x:v>
      </x:c>
      <x:c r="Q202" s="49" t="str">
        <x:v>explain the item's meaning and find a fair way to decide</x:v>
      </x:c>
      <x:c r="R202" s="49" t="str">
        <x:v>the house must be cleared by evening</x:v>
      </x:c>
      <x:c r="S202" s="49" t="str">
        <x:v>Green</x:v>
      </x:c>
      <x:c r="T202" s="49" t="str">
        <x:v>IES_v7_02_SCENE_CARDS.md#H05</x:v>
      </x:c>
    </x:row>
    <x:row r="203" ht="44" customHeight="1">
      <x:c r="A203" s="49" t="str">
        <x:v>H06</x:v>
      </x:c>
      <x:c r="B203" s="49" t="str">
        <x:v>家族・近隣・日常</x:v>
      </x:c>
      <x:c r="C203" s="49" t="str">
        <x:v>The Last-Minute Request</x:v>
      </x:c>
      <x:c r="D203" s="49" t="str">
        <x:v>ベビーシッターの境界線</x:v>
      </x:c>
      <x:c r="E203" s="49" t="str">
        <x:v>Present day; a family doorway when parents are unexpectedly delayed. No supernatural rule is added.</x:v>
      </x:c>
      <x:c r="F203" s="49" t="str">
        <x:v>the babysitter asked to stay much longer than agreed</x:v>
      </x:c>
      <x:c r="G203" s="49" t="str">
        <x:v>Parent Julia Reed, calling from another city</x:v>
      </x:c>
      <x:c r="H203" s="49" t="str">
        <x:v>Breeze</x:v>
      </x:c>
      <x:c r="I203" s="49" t="str">
        <x:v>表情豊かで真剣。緊迫、怪異、冒険に合う</x:v>
      </x:c>
      <x:c r="J203" s="49" t="str">
        <x:v>A2–B1</x:v>
      </x:c>
      <x:c r="K203" s="49" t="str">
        <x:v>やさしい</x:v>
      </x:c>
      <x:c r="L203" s="49" t="str">
        <x:v>短い返事でOK。選択肢や言い換えあり</x:v>
      </x:c>
      <x:c r="M203" s="49" t="str">
        <x:v>professional boundaries and emergency planning</x:v>
      </x:c>
      <x:c r="N203" s="49" t="str">
        <x:v>one-to-one; contemporary pressure; relationship choice</x:v>
      </x:c>
      <x:c r="O203" s="49" t="str">
        <x:v>domestic, recognizable, and quietly consequential</x:v>
      </x:c>
      <x:c r="P203" s="51" t="n">
        <x:v>10</x:v>
      </x:c>
      <x:c r="Q203" s="49" t="str">
        <x:v>set limits and arrange safe backup care</x:v>
      </x:c>
      <x:c r="R203" s="49" t="str">
        <x:v>the current shift has already exceeded the contract by hours</x:v>
      </x:c>
      <x:c r="S203" s="49" t="str">
        <x:v>Green</x:v>
      </x:c>
      <x:c r="T203" s="49" t="str">
        <x:v>IES_v7_02_SCENE_CARDS.md#H06</x:v>
      </x:c>
    </x:row>
    <x:row r="204" ht="44" customHeight="1">
      <x:c r="A204" s="49" t="str">
        <x:v>H07</x:v>
      </x:c>
      <x:c r="B204" s="49" t="str">
        <x:v>家族・近隣・日常</x:v>
      </x:c>
      <x:c r="C204" s="49" t="str">
        <x:v>The Shared Fridge Dispute</x:v>
      </x:c>
      <x:c r="D204" s="49" t="str">
        <x:v>シェアハウスの冷蔵庫裁判</x:v>
      </x:c>
      <x:c r="E204" s="49" t="str">
        <x:v>Present day; a shared-house kitchen after food repeatedly disappears. No supernatural rule is added.</x:v>
      </x:c>
      <x:c r="F204" s="49" t="str">
        <x:v>the resident proposing a new system</x:v>
      </x:c>
      <x:c r="G204" s="49" t="str">
        <x:v>Housemate Nina Patel, accused without proof</x:v>
      </x:c>
      <x:c r="H204" s="49" t="str">
        <x:v>Juniper</x:v>
      </x:c>
      <x:c r="I204" s="49" t="str">
        <x:v>開放的で明るい。相談、再会、親密な会話に合う</x:v>
      </x:c>
      <x:c r="J204" s="49" t="str">
        <x:v>A2–B1</x:v>
      </x:c>
      <x:c r="K204" s="49" t="str">
        <x:v>やさしい</x:v>
      </x:c>
      <x:c r="L204" s="49" t="str">
        <x:v>短い返事でOK。選択肢や言い換えあり</x:v>
      </x:c>
      <x:c r="M204" s="49" t="str">
        <x:v>household mediation and apology</x:v>
      </x:c>
      <x:c r="N204" s="49" t="str">
        <x:v>one-to-one; contemporary pressure; relationship choice</x:v>
      </x:c>
      <x:c r="O204" s="49" t="str">
        <x:v>domestic, recognizable, and quietly consequential</x:v>
      </x:c>
      <x:c r="P204" s="51" t="n">
        <x:v>10</x:v>
      </x:c>
      <x:c r="Q204" s="49" t="str">
        <x:v>separate facts from assumptions and agree on fair rules</x:v>
      </x:c>
      <x:c r="R204" s="49" t="str">
        <x:v>someone has posted an angry note naming Nina</x:v>
      </x:c>
      <x:c r="S204" s="49" t="str">
        <x:v>Green</x:v>
      </x:c>
      <x:c r="T204" s="49" t="str">
        <x:v>IES_v7_02_SCENE_CARDS.md#H07</x:v>
      </x:c>
    </x:row>
    <x:row r="205" ht="44" customHeight="1">
      <x:c r="A205" s="49" t="str">
        <x:v>H08</x:v>
      </x:c>
      <x:c r="B205" s="49" t="str">
        <x:v>家族・近隣・日常</x:v>
      </x:c>
      <x:c r="C205" s="49" t="str">
        <x:v>The Career Change at Dinner</x:v>
      </x:c>
      <x:c r="D205" s="49" t="str">
        <x:v>親に言えない進路変更</x:v>
      </x:c>
      <x:c r="E205" s="49" t="str">
        <x:v>Present day; a family dinner where you plan to reveal a major decision. No supernatural rule is added.</x:v>
      </x:c>
      <x:c r="F205" s="49" t="str">
        <x:v>the adult child leaving a prestigious career path</x:v>
      </x:c>
      <x:c r="G205" s="49" t="str">
        <x:v>Mother Maria Chen, proud and strongly opposed</x:v>
      </x:c>
      <x:c r="H205" s="49" t="str">
        <x:v>Juniper</x:v>
      </x:c>
      <x:c r="I205" s="49" t="str">
        <x:v>開放的で明るい。相談、再会、親密な会話に合う</x:v>
      </x:c>
      <x:c r="J205" s="49" t="str">
        <x:v>B1–B2</x:v>
      </x:c>
      <x:c r="K205" s="49" t="str">
        <x:v>ふつう</x:v>
      </x:c>
      <x:c r="L205" s="49" t="str">
        <x:v>2〜3文で自然に受け答え</x:v>
      </x:c>
      <x:c r="M205" s="49" t="str">
        <x:v>personal explanation and resisting pressure</x:v>
      </x:c>
      <x:c r="N205" s="49" t="str">
        <x:v>one-to-one; contemporary pressure; relationship choice</x:v>
      </x:c>
      <x:c r="O205" s="49" t="str">
        <x:v>domestic, recognizable, and quietly consequential</x:v>
      </x:c>
      <x:c r="P205" s="51" t="n">
        <x:v>12</x:v>
      </x:c>
      <x:c r="Q205" s="49" t="str">
        <x:v>explain the reasons and ask for respect without demanding approval</x:v>
      </x:c>
      <x:c r="R205" s="49" t="str">
        <x:v>the new program begins next week</x:v>
      </x:c>
      <x:c r="S205" s="49" t="str">
        <x:v>Green</x:v>
      </x:c>
      <x:c r="T205" s="49" t="str">
        <x:v>IES_v7_02_SCENE_CARDS.md#H08</x:v>
      </x:c>
    </x:row>
    <x:row r="206" ht="44" customHeight="1">
      <x:c r="A206" s="49" t="str">
        <x:v>H09</x:v>
      </x:c>
      <x:c r="B206" s="49" t="str">
        <x:v>家族・近隣・日常</x:v>
      </x:c>
      <x:c r="C206" s="49" t="str">
        <x:v>The Drill Nobody Wants</x:v>
      </x:c>
      <x:c r="D206" s="49" t="str">
        <x:v>自治体の避難訓練で対立</x:v>
      </x:c>
      <x:c r="E206" s="49" t="str">
        <x:v>Present day; an apartment lobby before a mandatory safety drill. No supernatural rule is added.</x:v>
      </x:c>
      <x:c r="F206" s="49" t="str">
        <x:v>the resident volunteer coordinating the event</x:v>
      </x:c>
      <x:c r="G206" s="49" t="str">
        <x:v>Neighbor Claire Evans, representing residents who refuse to join</x:v>
      </x:c>
      <x:c r="H206" s="49" t="str">
        <x:v>Juniper</x:v>
      </x:c>
      <x:c r="I206" s="49" t="str">
        <x:v>開放的で明るい。相談、再会、親密な会話に合う</x:v>
      </x:c>
      <x:c r="J206" s="49" t="str">
        <x:v>B1–B2</x:v>
      </x:c>
      <x:c r="K206" s="49" t="str">
        <x:v>ふつう</x:v>
      </x:c>
      <x:c r="L206" s="49" t="str">
        <x:v>2〜3文で自然に受け答え</x:v>
      </x:c>
      <x:c r="M206" s="49" t="str">
        <x:v>community explanation and accommodation</x:v>
      </x:c>
      <x:c r="N206" s="49" t="str">
        <x:v>one-to-one; contemporary pressure; relationship choice</x:v>
      </x:c>
      <x:c r="O206" s="49" t="str">
        <x:v>domestic, recognizable, and quietly consequential</x:v>
      </x:c>
      <x:c r="P206" s="51" t="n">
        <x:v>10</x:v>
      </x:c>
      <x:c r="Q206" s="49" t="str">
        <x:v>understand objections and redesign the drill for access needs</x:v>
      </x:c>
      <x:c r="R206" s="49" t="str">
        <x:v>the building recently failed an inspection</x:v>
      </x:c>
      <x:c r="S206" s="49" t="str">
        <x:v>Green</x:v>
      </x:c>
      <x:c r="T206" s="49" t="str">
        <x:v>IES_v7_02_SCENE_CARDS.md#H09</x:v>
      </x:c>
    </x:row>
    <x:row r="207" ht="44" customHeight="1">
      <x:c r="A207" s="49" t="str">
        <x:v>H10</x:v>
      </x:c>
      <x:c r="B207" s="49" t="str">
        <x:v>家族・近隣・日常</x:v>
      </x:c>
      <x:c r="C207" s="49" t="str">
        <x:v>The Package from an Old Friend</x:v>
      </x:c>
      <x:c r="D207" s="49" t="str">
        <x:v>昔の友達から届いた荷物</x:v>
      </x:c>
      <x:c r="E207" s="49" t="str">
        <x:v>Present day; a front porch after an unexpected delivery. No supernatural rule is added.</x:v>
      </x:c>
      <x:c r="F207" s="49" t="str">
        <x:v>the recipient calling the sender after years apart</x:v>
      </x:c>
      <x:c r="G207" s="49" t="str">
        <x:v>Tessa Morgan, your former best friend</x:v>
      </x:c>
      <x:c r="H207" s="49" t="str">
        <x:v>Juniper</x:v>
      </x:c>
      <x:c r="I207" s="49" t="str">
        <x:v>開放的で明るい。相談、再会、親密な会話に合う</x:v>
      </x:c>
      <x:c r="J207" s="49" t="str">
        <x:v>B1–B2</x:v>
      </x:c>
      <x:c r="K207" s="49" t="str">
        <x:v>ふつう</x:v>
      </x:c>
      <x:c r="L207" s="49" t="str">
        <x:v>2〜3文で自然に受け答え</x:v>
      </x:c>
      <x:c r="M207" s="49" t="str">
        <x:v>reunion questions and emotional boundaries</x:v>
      </x:c>
      <x:c r="N207" s="49" t="str">
        <x:v>one-to-one; contemporary pressure; relationship choice</x:v>
      </x:c>
      <x:c r="O207" s="49" t="str">
        <x:v>domestic, recognizable, and quietly consequential</x:v>
      </x:c>
      <x:c r="P207" s="51" t="n">
        <x:v>12</x:v>
      </x:c>
      <x:c r="Q207" s="49" t="str">
        <x:v>ask why the item was returned and whether she wants contact</x:v>
      </x:c>
      <x:c r="R207" s="49" t="str">
        <x:v>the package contains a shared memory you thought was lost</x:v>
      </x:c>
      <x:c r="S207" s="49" t="str">
        <x:v>Green</x:v>
      </x:c>
      <x:c r="T207" s="49" t="str">
        <x:v>IES_v7_02_SCENE_CARDS.md#H10</x:v>
      </x:c>
    </x:row>
    <x:row r="208" ht="44" customHeight="1">
      <x:c r="A208" s="49" t="str">
        <x:v>H11</x:v>
      </x:c>
      <x:c r="B208" s="49" t="str">
        <x:v>家族・近隣・日常</x:v>
      </x:c>
      <x:c r="C208" s="49" t="str">
        <x:v>The Secret Cat</x:v>
      </x:c>
      <x:c r="D208" s="49" t="str">
        <x:v>ペット禁止の建物</x:v>
      </x:c>
      <x:c r="E208" s="49" t="str">
        <x:v>Present day; an apartment manager's office after a hidden pet is discovered. No supernatural rule is added.</x:v>
      </x:c>
      <x:c r="F208" s="49" t="str">
        <x:v>the tenant facing a lease violation</x:v>
      </x:c>
      <x:c r="G208" s="49" t="str">
        <x:v>Manager Sofia Lewis, sympathetic but responsible for enforcement</x:v>
      </x:c>
      <x:c r="H208" s="49" t="str">
        <x:v>Juniper</x:v>
      </x:c>
      <x:c r="I208" s="49" t="str">
        <x:v>開放的で明るい。相談、再会、親密な会話に合う</x:v>
      </x:c>
      <x:c r="J208" s="49" t="str">
        <x:v>B1–B2</x:v>
      </x:c>
      <x:c r="K208" s="49" t="str">
        <x:v>ふつう</x:v>
      </x:c>
      <x:c r="L208" s="49" t="str">
        <x:v>2〜3文で自然に受け答え</x:v>
      </x:c>
      <x:c r="M208" s="49" t="str">
        <x:v>housing negotiation and responsibility</x:v>
      </x:c>
      <x:c r="N208" s="49" t="str">
        <x:v>one-to-one; contemporary pressure; relationship choice</x:v>
      </x:c>
      <x:c r="O208" s="49" t="str">
        <x:v>domestic, recognizable, and quietly consequential</x:v>
      </x:c>
      <x:c r="P208" s="51" t="n">
        <x:v>12</x:v>
      </x:c>
      <x:c r="Q208" s="49" t="str">
        <x:v>explain the situation and propose a compliant solution</x:v>
      </x:c>
      <x:c r="R208" s="49" t="str">
        <x:v>formal eviction review starts tomorrow</x:v>
      </x:c>
      <x:c r="S208" s="49" t="str">
        <x:v>Green</x:v>
      </x:c>
      <x:c r="T208" s="49" t="str">
        <x:v>IES_v7_02_SCENE_CARDS.md#H11</x:v>
      </x:c>
    </x:row>
    <x:row r="209" ht="44" customHeight="1">
      <x:c r="A209" s="49" t="str">
        <x:v>H12</x:v>
      </x:c>
      <x:c r="B209" s="49" t="str">
        <x:v>家族・近隣・日常</x:v>
      </x:c>
      <x:c r="C209" s="49" t="str">
        <x:v>The Missing Person in the Album</x:v>
      </x:c>
      <x:c r="D209" s="49" t="str">
        <x:v>家族写真にいない人</x:v>
      </x:c>
      <x:c r="E209" s="49" t="str">
        <x:v>Present day; a family home while preparing an anniversary slideshow. No supernatural rule is added.</x:v>
      </x:c>
      <x:c r="F209" s="49" t="str">
        <x:v>the relative who notices someone erased from old photos</x:v>
      </x:c>
      <x:c r="G209" s="49" t="str">
        <x:v>Aunt Naomi Hill, the person who made the album</x:v>
      </x:c>
      <x:c r="H209" s="49" t="str">
        <x:v>Juniper</x:v>
      </x:c>
      <x:c r="I209" s="49" t="str">
        <x:v>開放的で明るい。相談、再会、親密な会話に合う</x:v>
      </x:c>
      <x:c r="J209" s="49" t="str">
        <x:v>B1–C1</x:v>
      </x:c>
      <x:c r="K209" s="49" t="str">
        <x:v>ふつう</x:v>
      </x:c>
      <x:c r="L209" s="49" t="str">
        <x:v>2〜3文で自然に受け答え</x:v>
      </x:c>
      <x:c r="M209" s="49" t="str">
        <x:v>sensitive family questions and discretion</x:v>
      </x:c>
      <x:c r="N209" s="49" t="str">
        <x:v>one-to-one; contemporary pressure; relationship choice</x:v>
      </x:c>
      <x:c r="O209" s="49" t="str">
        <x:v>domestic, recognizable, and quietly consequential</x:v>
      </x:c>
      <x:c r="P209" s="51" t="n">
        <x:v>12</x:v>
      </x:c>
      <x:c r="Q209" s="49" t="str">
        <x:v>ask about the omission and decide whether to include the story</x:v>
      </x:c>
      <x:c r="R209" s="49" t="str">
        <x:v>the celebration begins tonight</x:v>
      </x:c>
      <x:c r="S209" s="49" t="str">
        <x:v>Green</x:v>
      </x:c>
      <x:c r="T209" s="49" t="str">
        <x:v>IES_v7_02_SCENE_CARDS.md#H12</x:v>
      </x:c>
    </x:row>
    <x:row r="210" ht="44" customHeight="1">
      <x:c r="A210" s="49" t="str">
        <x:v>H13</x:v>
      </x:c>
      <x:c r="B210" s="49" t="str">
        <x:v>家族・近隣・日常</x:v>
      </x:c>
      <x:c r="C210" s="49" t="str">
        <x:v>The Bookshop's Last Day</x:v>
      </x:c>
      <x:c r="D210" s="49" t="str">
        <x:v>町の本屋を閉める日</x:v>
      </x:c>
      <x:c r="E210" s="49" t="str">
        <x:v>Present day; a neighborhood bookstore before final closing. No supernatural rule is added.</x:v>
      </x:c>
      <x:c r="F210" s="49" t="str">
        <x:v>a longtime customer offering help</x:v>
      </x:c>
      <x:c r="G210" s="49" t="str">
        <x:v>Owner Grace Turner, exhausted and unwilling to accept vague promises</x:v>
      </x:c>
      <x:c r="H210" s="49" t="str">
        <x:v>Juniper</x:v>
      </x:c>
      <x:c r="I210" s="49" t="str">
        <x:v>開放的で明るい。相談、再会、親密な会話に合う</x:v>
      </x:c>
      <x:c r="J210" s="49" t="str">
        <x:v>B1–B2</x:v>
      </x:c>
      <x:c r="K210" s="49" t="str">
        <x:v>ふつう</x:v>
      </x:c>
      <x:c r="L210" s="49" t="str">
        <x:v>2〜3文で自然に受け答え</x:v>
      </x:c>
      <x:c r="M210" s="49" t="str">
        <x:v>practical support and respectful persuasion</x:v>
      </x:c>
      <x:c r="N210" s="49" t="str">
        <x:v>one-to-one; contemporary pressure; relationship choice</x:v>
      </x:c>
      <x:c r="O210" s="49" t="str">
        <x:v>domestic, recognizable, and quietly consequential</x:v>
      </x:c>
      <x:c r="P210" s="51" t="n">
        <x:v>12</x:v>
      </x:c>
      <x:c r="Q210" s="49" t="str">
        <x:v>understand the real constraints and propose one concrete option</x:v>
      </x:c>
      <x:c r="R210" s="49" t="str">
        <x:v>the lease surrender papers are ready to sign</x:v>
      </x:c>
      <x:c r="S210" s="49" t="str">
        <x:v>Green</x:v>
      </x:c>
      <x:c r="T210" s="49" t="str">
        <x:v>IES_v7_02_SCENE_CARDS.md#H13</x:v>
      </x:c>
    </x:row>
    <x:row r="211" ht="44" customHeight="1">
      <x:c r="A211" s="49" t="str">
        <x:v>H14</x:v>
      </x:c>
      <x:c r="B211" s="49" t="str">
        <x:v>家族・近隣・日常</x:v>
      </x:c>
      <x:c r="C211" s="49" t="str">
        <x:v>The Emergency Pickup</x:v>
      </x:c>
      <x:c r="D211" s="49" t="str">
        <x:v>親友の子どもを預かる</x:v>
      </x:c>
      <x:c r="E211" s="49" t="str">
        <x:v>Present day; a school gate after a friend cannot arrive. No supernatural rule is added.</x:v>
      </x:c>
      <x:c r="F211" s="49" t="str">
        <x:v>the emergency contact without the correct identification</x:v>
      </x:c>
      <x:c r="G211" s="49" t="str">
        <x:v>Teacher Lily Adams, responsible for release safety</x:v>
      </x:c>
      <x:c r="H211" s="49" t="str">
        <x:v>Juniper</x:v>
      </x:c>
      <x:c r="I211" s="49" t="str">
        <x:v>開放的で明るい。相談、再会、親密な会話に合う</x:v>
      </x:c>
      <x:c r="J211" s="49" t="str">
        <x:v>A2–B1</x:v>
      </x:c>
      <x:c r="K211" s="49" t="str">
        <x:v>やさしい</x:v>
      </x:c>
      <x:c r="L211" s="49" t="str">
        <x:v>短い返事でOK。選択肢や言い換えあり</x:v>
      </x:c>
      <x:c r="M211" s="49" t="str">
        <x:v>identity clarification and procedure</x:v>
      </x:c>
      <x:c r="N211" s="49" t="str">
        <x:v>one-to-one; contemporary pressure; relationship choice</x:v>
      </x:c>
      <x:c r="O211" s="49" t="str">
        <x:v>domestic, recognizable, and quietly consequential</x:v>
      </x:c>
      <x:c r="P211" s="51" t="n">
        <x:v>8</x:v>
      </x:c>
      <x:c r="Q211" s="49" t="str">
        <x:v>verify permission and arrange a lawful solution</x:v>
      </x:c>
      <x:c r="R211" s="49" t="str">
        <x:v>the school is closing and the parent cannot be reached</x:v>
      </x:c>
      <x:c r="S211" s="49" t="str">
        <x:v>Green</x:v>
      </x:c>
      <x:c r="T211" s="49" t="str">
        <x:v>IES_v7_02_SCENE_CARDS.md#H14</x:v>
      </x:c>
    </x:row>
    <x:row r="212" ht="44" customHeight="1">
      <x:c r="A212" s="49" t="str">
        <x:v>H15</x:v>
      </x:c>
      <x:c r="B212" s="49" t="str">
        <x:v>家族・近隣・日常</x:v>
      </x:c>
      <x:c r="C212" s="49" t="str">
        <x:v>The House Nobody Wants</x:v>
      </x:c>
      <x:c r="D212" s="49" t="str">
        <x:v>相続した古い家</x:v>
      </x:c>
      <x:c r="E212" s="49" t="str">
        <x:v>Present day; an inherited family house requiring an urgent decision. No supernatural rule is added.</x:v>
      </x:c>
      <x:c r="F212" s="49" t="str">
        <x:v>one relative considering whether to keep it</x:v>
      </x:c>
      <x:c r="G212" s="49" t="str">
        <x:v>Cousin Amelia Scott, who wants an immediate sale</x:v>
      </x:c>
      <x:c r="H212" s="49" t="str">
        <x:v>Juniper</x:v>
      </x:c>
      <x:c r="I212" s="49" t="str">
        <x:v>開放的で明るい。相談、再会、親密な会話に合う</x:v>
      </x:c>
      <x:c r="J212" s="49" t="str">
        <x:v>B1–B2</x:v>
      </x:c>
      <x:c r="K212" s="49" t="str">
        <x:v>ふつう</x:v>
      </x:c>
      <x:c r="L212" s="49" t="str">
        <x:v>2〜3文で自然に受け答え</x:v>
      </x:c>
      <x:c r="M212" s="49" t="str">
        <x:v>family decision-making and tradeoffs</x:v>
      </x:c>
      <x:c r="N212" s="49" t="str">
        <x:v>one-to-one; contemporary pressure; relationship choice</x:v>
      </x:c>
      <x:c r="O212" s="49" t="str">
        <x:v>domestic, recognizable, and quietly consequential</x:v>
      </x:c>
      <x:c r="P212" s="51" t="n">
        <x:v>15</x:v>
      </x:c>
      <x:c r="Q212" s="49" t="str">
        <x:v>compare financial, practical, and emotional priorities</x:v>
      </x:c>
      <x:c r="R212" s="49" t="str">
        <x:v>storm damage will worsen without repairs this week</x:v>
      </x:c>
      <x:c r="S212" s="49" t="str">
        <x:v>Green</x:v>
      </x:c>
      <x:c r="T212" s="49" t="str">
        <x:v>IES_v7_02_SCENE_CARDS.md#H15</x:v>
      </x:c>
    </x:row>
    <x:row r="213" ht="44" customHeight="1">
      <x:c r="A213" s="49" t="str">
        <x:v>H16</x:v>
      </x:c>
      <x:c r="B213" s="49" t="str">
        <x:v>家族・近隣・日常</x:v>
      </x:c>
      <x:c r="C213" s="49" t="str">
        <x:v>The Last Garden Plot</x:v>
      </x:c>
      <x:c r="D213" s="49" t="str">
        <x:v>地域菜園の最後の区画</x:v>
      </x:c>
      <x:c r="E213" s="49" t="str">
        <x:v>Present day; a community garden allocation meeting. No supernatural rule is added.</x:v>
      </x:c>
      <x:c r="F213" s="49" t="str">
        <x:v>the applicant tied for the final plot</x:v>
      </x:c>
      <x:c r="G213" s="49" t="str">
        <x:v>Coordinator Mia Lopez, deciding between two strong applications</x:v>
      </x:c>
      <x:c r="H213" s="49" t="str">
        <x:v>Juniper</x:v>
      </x:c>
      <x:c r="I213" s="49" t="str">
        <x:v>開放的で明るい。相談、再会、親密な会話に合う</x:v>
      </x:c>
      <x:c r="J213" s="49" t="str">
        <x:v>A2–B1</x:v>
      </x:c>
      <x:c r="K213" s="49" t="str">
        <x:v>やさしい</x:v>
      </x:c>
      <x:c r="L213" s="49" t="str">
        <x:v>短い返事でOK。選択肢や言い換えあり</x:v>
      </x:c>
      <x:c r="M213" s="49" t="str">
        <x:v>persuasion and cooperative alternatives</x:v>
      </x:c>
      <x:c r="N213" s="49" t="str">
        <x:v>one-to-one; contemporary pressure; relationship choice</x:v>
      </x:c>
      <x:c r="O213" s="49" t="str">
        <x:v>domestic, recognizable, and quietly consequential</x:v>
      </x:c>
      <x:c r="P213" s="51" t="n">
        <x:v>10</x:v>
      </x:c>
      <x:c r="Q213" s="49" t="str">
        <x:v>make a case and propose shared use without attacking the other applicant</x:v>
      </x:c>
      <x:c r="R213" s="49" t="str">
        <x:v>planting season begins tomorrow</x:v>
      </x:c>
      <x:c r="S213" s="49" t="str">
        <x:v>Green</x:v>
      </x:c>
      <x:c r="T213" s="49" t="str">
        <x:v>IES_v7_02_SCENE_CARDS.md#H16</x:v>
      </x:c>
    </x:row>
    <x:row r="214" ht="44" customHeight="1">
      <x:c r="A214" s="49" t="str">
        <x:v>H17</x:v>
      </x:c>
      <x:c r="B214" s="49" t="str">
        <x:v>家族・近隣・日常</x:v>
      </x:c>
      <x:c r="C214" s="49" t="str">
        <x:v>The Leak Above the Bed</x:v>
      </x:c>
      <x:c r="D214" s="49" t="str">
        <x:v>大家との修理交渉</x:v>
      </x:c>
      <x:c r="E214" s="49" t="str">
        <x:v>Present day; a rented apartment after repeated repair requests. No supernatural rule is added.</x:v>
      </x:c>
      <x:c r="F214" s="49" t="str">
        <x:v>the tenant documenting a serious leak</x:v>
      </x:c>
      <x:c r="G214" s="49" t="str">
        <x:v>Landlord Karen White, claiming the problem is minor</x:v>
      </x:c>
      <x:c r="H214" s="49" t="str">
        <x:v>Juniper</x:v>
      </x:c>
      <x:c r="I214" s="49" t="str">
        <x:v>開放的で明るい。相談、再会、親密な会話に合う</x:v>
      </x:c>
      <x:c r="J214" s="49" t="str">
        <x:v>A2–B2</x:v>
      </x:c>
      <x:c r="K214" s="49" t="str">
        <x:v>やさしい</x:v>
      </x:c>
      <x:c r="L214" s="49" t="str">
        <x:v>短い返事でOK。選択肢や言い換えあり</x:v>
      </x:c>
      <x:c r="M214" s="49" t="str">
        <x:v>complaint escalation and deadlines</x:v>
      </x:c>
      <x:c r="N214" s="49" t="str">
        <x:v>one-to-one; contemporary pressure; relationship choice</x:v>
      </x:c>
      <x:c r="O214" s="49" t="str">
        <x:v>domestic, recognizable, and quietly consequential</x:v>
      </x:c>
      <x:c r="P214" s="51" t="n">
        <x:v>10</x:v>
      </x:c>
      <x:c r="Q214" s="49" t="str">
        <x:v>state the history, health impact, and required timeline</x:v>
      </x:c>
      <x:c r="R214" s="49" t="str">
        <x:v>heavy rain is forecast tonight</x:v>
      </x:c>
      <x:c r="S214" s="49" t="str">
        <x:v>Green</x:v>
      </x:c>
      <x:c r="T214" s="49" t="str">
        <x:v>IES_v7_02_SCENE_CARDS.md#H17</x:v>
      </x:c>
    </x:row>
    <x:row r="215" ht="44" customHeight="1">
      <x:c r="A215" s="49" t="str">
        <x:v>H18</x:v>
      </x:c>
      <x:c r="B215" s="49" t="str">
        <x:v>家族・近隣・日常</x:v>
      </x:c>
      <x:c r="C215" s="49" t="str">
        <x:v>The Family Chat Mistake</x:v>
      </x:c>
      <x:c r="D215" s="49" t="str">
        <x:v>家族のグループチャット誤送信</x:v>
      </x:c>
      <x:c r="E215" s="49" t="str">
        <x:v>Present day; a phone call after a private message reaches the whole family. No supernatural rule is added.</x:v>
      </x:c>
      <x:c r="F215" s="49" t="str">
        <x:v>the sender trying to repair the damage</x:v>
      </x:c>
      <x:c r="G215" s="49" t="str">
        <x:v>Sister Emma Young, the person criticized in the message</x:v>
      </x:c>
      <x:c r="H215" s="49" t="str">
        <x:v>Juniper</x:v>
      </x:c>
      <x:c r="I215" s="49" t="str">
        <x:v>開放的で明るい。相談、再会、親密な会話に合う</x:v>
      </x:c>
      <x:c r="J215" s="49" t="str">
        <x:v>A2–B1</x:v>
      </x:c>
      <x:c r="K215" s="49" t="str">
        <x:v>やさしい</x:v>
      </x:c>
      <x:c r="L215" s="49" t="str">
        <x:v>短い返事でOK。選択肢や言い換えあり</x:v>
      </x:c>
      <x:c r="M215" s="49" t="str">
        <x:v>accountable apology and conflict repair</x:v>
      </x:c>
      <x:c r="N215" s="49" t="str">
        <x:v>one-to-one; contemporary pressure; relationship choice</x:v>
      </x:c>
      <x:c r="O215" s="49" t="str">
        <x:v>domestic, recognizable, and quietly consequential</x:v>
      </x:c>
      <x:c r="P215" s="51" t="n">
        <x:v>10</x:v>
      </x:c>
      <x:c r="Q215" s="49" t="str">
        <x:v>apologize directly and discuss the underlying issue</x:v>
      </x:c>
      <x:c r="R215" s="49" t="str">
        <x:v>relatives are already taking sides</x:v>
      </x:c>
      <x:c r="S215" s="49" t="str">
        <x:v>Green</x:v>
      </x:c>
      <x:c r="T215" s="49" t="str">
        <x:v>IES_v7_02_SCENE_CARDS.md#H18</x:v>
      </x:c>
    </x:row>
    <x:row r="216" ht="44" customHeight="1">
      <x:c r="A216" s="49" t="str">
        <x:v>H19</x:v>
      </x:c>
      <x:c r="B216" s="49" t="str">
        <x:v>家族・近隣・日常</x:v>
      </x:c>
      <x:c r="C216" s="49" t="str">
        <x:v>The Missing Emergency Key</x:v>
      </x:c>
      <x:c r="D216" s="49" t="str">
        <x:v>防災倉庫の鍵</x:v>
      </x:c>
      <x:c r="E216" s="49" t="str">
        <x:v>Present day; an apartment building during a power outage. No supernatural rule is added.</x:v>
      </x:c>
      <x:c r="F216" s="49" t="str">
        <x:v>the resident who knows the emergency supplies exist</x:v>
      </x:c>
      <x:c r="G216" s="49" t="str">
        <x:v>Caretaker Rosa Martin, the only person authorized to open the store</x:v>
      </x:c>
      <x:c r="H216" s="49" t="str">
        <x:v>Breeze</x:v>
      </x:c>
      <x:c r="I216" s="49" t="str">
        <x:v>表情豊かで真剣。緊迫、怪異、冒険に合う</x:v>
      </x:c>
      <x:c r="J216" s="49" t="str">
        <x:v>B1–B2</x:v>
      </x:c>
      <x:c r="K216" s="49" t="str">
        <x:v>ふつう</x:v>
      </x:c>
      <x:c r="L216" s="49" t="str">
        <x:v>2〜3文で自然に受け答え</x:v>
      </x:c>
      <x:c r="M216" s="49" t="str">
        <x:v>urgent coordination and reassurance</x:v>
      </x:c>
      <x:c r="N216" s="49" t="str">
        <x:v>one-to-one; contemporary pressure; relationship choice</x:v>
      </x:c>
      <x:c r="O216" s="49" t="str">
        <x:v>domestic, recognizable, and quietly consequential</x:v>
      </x:c>
      <x:c r="P216" s="51" t="n">
        <x:v>10</x:v>
      </x:c>
      <x:c r="Q216" s="49" t="str">
        <x:v>prove the need and create a safe distribution plan</x:v>
      </x:c>
      <x:c r="R216" s="49" t="str">
        <x:v>residents are gathering and rumors of shortages are spreading</x:v>
      </x:c>
      <x:c r="S216" s="49" t="str">
        <x:v>Green</x:v>
      </x:c>
      <x:c r="T216" s="49" t="str">
        <x:v>IES_v7_02_SCENE_CARDS.md#H19</x:v>
      </x:c>
    </x:row>
    <x:row r="217" ht="44" customHeight="1">
      <x:c r="A217" s="49" t="str">
        <x:v>H20</x:v>
      </x:c>
      <x:c r="B217" s="49" t="str">
        <x:v>家族・近隣・日常</x:v>
      </x:c>
      <x:c r="C217" s="49" t="str">
        <x:v>The Unplanned Houseguest</x:v>
      </x:c>
      <x:c r="D217" s="49" t="str">
        <x:v>親戚の泊まりを断る</x:v>
      </x:c>
      <x:c r="E217" s="49" t="str">
        <x:v>Present day; a home phone call before a relative arrives. No supernatural rule is added.</x:v>
      </x:c>
      <x:c r="F217" s="49" t="str">
        <x:v>the resident unable to host</x:v>
      </x:c>
      <x:c r="G217" s="49" t="str">
        <x:v>Cousin Lucy Brown, assuming she can stay for two weeks</x:v>
      </x:c>
      <x:c r="H217" s="49" t="str">
        <x:v>Juniper</x:v>
      </x:c>
      <x:c r="I217" s="49" t="str">
        <x:v>開放的で明るい。相談、再会、親密な会話に合う</x:v>
      </x:c>
      <x:c r="J217" s="49" t="str">
        <x:v>A2–B1</x:v>
      </x:c>
      <x:c r="K217" s="49" t="str">
        <x:v>やさしい</x:v>
      </x:c>
      <x:c r="L217" s="49" t="str">
        <x:v>短い返事でOK。選択肢や言い換えあり</x:v>
      </x:c>
      <x:c r="M217" s="49" t="str">
        <x:v>firm refusal and practical help</x:v>
      </x:c>
      <x:c r="N217" s="49" t="str">
        <x:v>one-to-one; contemporary pressure; relationship choice</x:v>
      </x:c>
      <x:c r="O217" s="49" t="str">
        <x:v>domestic, recognizable, and quietly consequential</x:v>
      </x:c>
      <x:c r="P217" s="51" t="n">
        <x:v>8</x:v>
      </x:c>
      <x:c r="Q217" s="49" t="str">
        <x:v>say no clearly and offer limited alternatives</x:v>
      </x:c>
      <x:c r="R217" s="49" t="str">
        <x:v>Lucy is already on the train</x:v>
      </x:c>
      <x:c r="S217" s="49" t="str">
        <x:v>Green</x:v>
      </x:c>
      <x:c r="T217" s="49" t="str">
        <x:v>IES_v7_02_SCENE_CARDS.md#H20</x:v>
      </x:c>
    </x:row>
    <x:row r="218" ht="44" customHeight="1">
      <x:c r="A218" s="49" t="str">
        <x:v>H21</x:v>
      </x:c>
      <x:c r="B218" s="49" t="str">
        <x:v>家族・近隣・日常</x:v>
      </x:c>
      <x:c r="C218" s="49" t="str">
        <x:v>Two Versions of Childhood</x:v>
      </x:c>
      <x:c r="D218" s="49" t="str">
        <x:v>記憶の違う幼なじみ</x:v>
      </x:c>
      <x:c r="E218" s="49" t="str">
        <x:v>Present day; a hometown cafe during a reunion. No supernatural rule is added.</x:v>
      </x:c>
      <x:c r="F218" s="49" t="str">
        <x:v>the friend comparing conflicting memories</x:v>
      </x:c>
      <x:c r="G218" s="49" t="str">
        <x:v>Childhood friend Sarah King, certain you broke an old promise</x:v>
      </x:c>
      <x:c r="H218" s="49" t="str">
        <x:v>Juniper</x:v>
      </x:c>
      <x:c r="I218" s="49" t="str">
        <x:v>開放的で明るい。相談、再会、親密な会話に合う</x:v>
      </x:c>
      <x:c r="J218" s="49" t="str">
        <x:v>B1–B2</x:v>
      </x:c>
      <x:c r="K218" s="49" t="str">
        <x:v>ふつう</x:v>
      </x:c>
      <x:c r="L218" s="49" t="str">
        <x:v>2〜3文で自然に受け答え</x:v>
      </x:c>
      <x:c r="M218" s="49" t="str">
        <x:v>past narration and uncertainty</x:v>
      </x:c>
      <x:c r="N218" s="49" t="str">
        <x:v>one-to-one; contemporary pressure; relationship choice</x:v>
      </x:c>
      <x:c r="O218" s="49" t="str">
        <x:v>domestic, recognizable, and quietly consequential</x:v>
      </x:c>
      <x:c r="P218" s="51" t="n">
        <x:v>12</x:v>
      </x:c>
      <x:c r="Q218" s="49" t="str">
        <x:v>explore the discrepancy without declaring either person dishonest</x:v>
      </x:c>
      <x:c r="R218" s="49" t="str">
        <x:v>the disputed promise shaped Sarah's major life decision</x:v>
      </x:c>
      <x:c r="S218" s="49" t="str">
        <x:v>Green</x:v>
      </x:c>
      <x:c r="T218" s="49" t="str">
        <x:v>IES_v7_02_SCENE_CARDS.md#H21</x:v>
      </x:c>
    </x:row>
    <x:row r="219" ht="44" customHeight="1">
      <x:c r="A219" s="49" t="str">
        <x:v>H22</x:v>
      </x:c>
      <x:c r="B219" s="49" t="str">
        <x:v>家族・近隣・日常</x:v>
      </x:c>
      <x:c r="C219" s="49" t="str">
        <x:v>The Shared Driveway</x:v>
      </x:c>
      <x:c r="D219" s="49" t="str">
        <x:v>引っ越し当日の境界線</x:v>
      </x:c>
      <x:c r="E219" s="49" t="str">
        <x:v>Present day; two neighboring homes during moving day. No supernatural rule is added.</x:v>
      </x:c>
      <x:c r="F219" s="49" t="str">
        <x:v>the new resident needing temporary access</x:v>
      </x:c>
      <x:c r="G219" s="49" t="str">
        <x:v>Neighbor Alice Green, protective of her property</x:v>
      </x:c>
      <x:c r="H219" s="49" t="str">
        <x:v>Juniper</x:v>
      </x:c>
      <x:c r="I219" s="49" t="str">
        <x:v>開放的で明るい。相談、再会、親密な会話に合う</x:v>
      </x:c>
      <x:c r="J219" s="49" t="str">
        <x:v>A2–B1</x:v>
      </x:c>
      <x:c r="K219" s="49" t="str">
        <x:v>やさしい</x:v>
      </x:c>
      <x:c r="L219" s="49" t="str">
        <x:v>短い返事でOK。選択肢や言い換えあり</x:v>
      </x:c>
      <x:c r="M219" s="49" t="str">
        <x:v>requests, limits, and concrete agreement</x:v>
      </x:c>
      <x:c r="N219" s="49" t="str">
        <x:v>one-to-one; contemporary pressure; relationship choice</x:v>
      </x:c>
      <x:c r="O219" s="49" t="str">
        <x:v>domestic, recognizable, and quietly consequential</x:v>
      </x:c>
      <x:c r="P219" s="51" t="n">
        <x:v>8</x:v>
      </x:c>
      <x:c r="Q219" s="49" t="str">
        <x:v>request limited use and agree on timing and responsibility</x:v>
      </x:c>
      <x:c r="R219" s="49" t="str">
        <x:v>the moving truck blocks emergency access</x:v>
      </x:c>
      <x:c r="S219" s="49" t="str">
        <x:v>Green</x:v>
      </x:c>
      <x:c r="T219" s="49" t="str">
        <x:v>IES_v7_02_SCENE_CARDS.md#H22</x:v>
      </x:c>
    </x:row>
    <x:row r="220" ht="44" customHeight="1">
      <x:c r="A220" s="49" t="str">
        <x:v>T01</x:v>
      </x:c>
      <x:c r="B220" s="49" t="str">
        <x:v>旅行・イベント</x:v>
      </x:c>
      <x:c r="C220" s="49" t="str">
        <x:v>The Vanished Connection</x:v>
      </x:c>
      <x:c r="D220" s="49" t="str">
        <x:v>乗り継ぎ便が消えた夜</x:v>
      </x:c>
      <x:c r="E220" s="49" t="str">
        <x:v>Present day; an international airport after the final connection is canceled. No supernatural rule is added.</x:v>
      </x:c>
      <x:c r="F220" s="49" t="str">
        <x:v>a stranded traveler seeking a route home</x:v>
      </x:c>
      <x:c r="G220" s="49" t="str">
        <x:v>Airline agent Maya Patel, working the disruption desk</x:v>
      </x:c>
      <x:c r="H220" s="49" t="str">
        <x:v>Maple</x:v>
      </x:c>
      <x:c r="I220" s="49" t="str">
        <x:v>朗らかで率直。軽快、日常、サービス場面に合う</x:v>
      </x:c>
      <x:c r="J220" s="49" t="str">
        <x:v>A2–B2</x:v>
      </x:c>
      <x:c r="K220" s="49" t="str">
        <x:v>やさしい</x:v>
      </x:c>
      <x:c r="L220" s="49" t="str">
        <x:v>短い返事でOK。選択肢や言い換えあり</x:v>
      </x:c>
      <x:c r="M220" s="49" t="str">
        <x:v>travel problem-solving and priorities</x:v>
      </x:c>
      <x:c r="N220" s="49" t="str">
        <x:v>one-to-one; contemporary pressure; relationship choice</x:v>
      </x:c>
      <x:c r="O220" s="49" t="str">
        <x:v>immediate, practical, and socially vivid</x:v>
      </x:c>
      <x:c r="P220" s="51" t="n">
        <x:v>12</x:v>
      </x:c>
      <x:c r="Q220" s="49" t="str">
        <x:v>compare rerouting, hotel, refund, and baggage options</x:v>
      </x:c>
      <x:c r="R220" s="49" t="str">
        <x:v>the remaining seats disappear while you decide</x:v>
      </x:c>
      <x:c r="S220" s="49" t="str">
        <x:v>Green</x:v>
      </x:c>
      <x:c r="T220" s="49" t="str">
        <x:v>IES_v7_02_SCENE_CARDS.md#T01</x:v>
      </x:c>
    </x:row>
    <x:row r="221" ht="44" customHeight="1">
      <x:c r="A221" s="49" t="str">
        <x:v>T02</x:v>
      </x:c>
      <x:c r="B221" s="49" t="str">
        <x:v>旅行・イベント</x:v>
      </x:c>
      <x:c r="C221" s="49" t="str">
        <x:v>The Wrong Train Reservation</x:v>
      </x:c>
      <x:c r="D221" s="49" t="str">
        <x:v>予約した列車が別の国へ</x:v>
      </x:c>
      <x:c r="E221" s="49" t="str">
        <x:v>Present day; a European rail station shortly before departure. No supernatural rule is added.</x:v>
      </x:c>
      <x:c r="F221" s="49" t="str">
        <x:v>the traveler whose ticket has the right city name in the wrong country</x:v>
      </x:c>
      <x:c r="G221" s="49" t="str">
        <x:v>Clerk Elena Rossi, trying to fix the booking</x:v>
      </x:c>
      <x:c r="H221" s="49" t="str">
        <x:v>Maple</x:v>
      </x:c>
      <x:c r="I221" s="49" t="str">
        <x:v>朗らかで率直。軽快、日常、サービス場面に合う</x:v>
      </x:c>
      <x:c r="J221" s="49" t="str">
        <x:v>A2–B1</x:v>
      </x:c>
      <x:c r="K221" s="49" t="str">
        <x:v>やさしい</x:v>
      </x:c>
      <x:c r="L221" s="49" t="str">
        <x:v>短い返事でOK。選択肢や言い換えあり</x:v>
      </x:c>
      <x:c r="M221" s="49" t="str">
        <x:v>location clarification and quick decisions</x:v>
      </x:c>
      <x:c r="N221" s="49" t="str">
        <x:v>one-to-one; contemporary pressure; relationship choice</x:v>
      </x:c>
      <x:c r="O221" s="49" t="str">
        <x:v>immediate, practical, and socially vivid</x:v>
      </x:c>
      <x:c r="P221" s="51" t="n">
        <x:v>8</x:v>
      </x:c>
      <x:c r="Q221" s="49" t="str">
        <x:v>clarify the destination and choose the least damaging alternative</x:v>
      </x:c>
      <x:c r="R221" s="49" t="str">
        <x:v>the intended train leaves in eleven minutes</x:v>
      </x:c>
      <x:c r="S221" s="49" t="str">
        <x:v>Green</x:v>
      </x:c>
      <x:c r="T221" s="49" t="str">
        <x:v>IES_v7_02_SCENE_CARDS.md#T02</x:v>
      </x:c>
    </x:row>
    <x:row r="222" ht="44" customHeight="1">
      <x:c r="A222" s="49" t="str">
        <x:v>T03</x:v>
      </x:c>
      <x:c r="B222" s="49" t="str">
        <x:v>旅行・イベント</x:v>
      </x:c>
      <x:c r="C222" s="49" t="str">
        <x:v>The Missing Passport</x:v>
      </x:c>
      <x:c r="D222" s="49" t="str">
        <x:v>ホテルでパスポートを紛失</x:v>
      </x:c>
      <x:c r="E222" s="49" t="str">
        <x:v>Present day; a hotel security office on departure morning. No supernatural rule is added.</x:v>
      </x:c>
      <x:c r="F222" s="49" t="str">
        <x:v>the traveler reconstructing the previous evening</x:v>
      </x:c>
      <x:c r="G222" s="49" t="str">
        <x:v>Security manager Clara Diaz, reviewing camera access</x:v>
      </x:c>
      <x:c r="H222" s="49" t="str">
        <x:v>Breeze</x:v>
      </x:c>
      <x:c r="I222" s="49" t="str">
        <x:v>表情豊かで真剣。緊迫、怪異、冒険に合う</x:v>
      </x:c>
      <x:c r="J222" s="49" t="str">
        <x:v>A2–B2</x:v>
      </x:c>
      <x:c r="K222" s="49" t="str">
        <x:v>やさしい</x:v>
      </x:c>
      <x:c r="L222" s="49" t="str">
        <x:v>短い返事でOK。選択肢や言い換えあり</x:v>
      </x:c>
      <x:c r="M222" s="49" t="str">
        <x:v>timeline narration and urgent coordination</x:v>
      </x:c>
      <x:c r="N222" s="49" t="str">
        <x:v>one-to-one; contemporary pressure; relationship choice</x:v>
      </x:c>
      <x:c r="O222" s="49" t="str">
        <x:v>immediate, practical, and socially vivid</x:v>
      </x:c>
      <x:c r="P222" s="51" t="n">
        <x:v>12</x:v>
      </x:c>
      <x:c r="Q222" s="49" t="str">
        <x:v>give a precise timeline and decide whom to contact first</x:v>
      </x:c>
      <x:c r="R222" s="49" t="str">
        <x:v>the embassy closes early and your flight is tonight</x:v>
      </x:c>
      <x:c r="S222" s="49" t="str">
        <x:v>Green</x:v>
      </x:c>
      <x:c r="T222" s="49" t="str">
        <x:v>IES_v7_02_SCENE_CARDS.md#T03</x:v>
      </x:c>
    </x:row>
    <x:row r="223" ht="44" customHeight="1">
      <x:c r="A223" s="49" t="str">
        <x:v>T04</x:v>
      </x:c>
      <x:c r="B223" s="49" t="str">
        <x:v>旅行・イベント</x:v>
      </x:c>
      <x:c r="C223" s="49" t="str">
        <x:v>The Unexpected Wedding Speech</x:v>
      </x:c>
      <x:c r="D223" s="49" t="str">
        <x:v>結婚式でスピーチ代役</x:v>
      </x:c>
      <x:c r="E223" s="49" t="str">
        <x:v>Present day; a reception hallway after the scheduled speaker disappears. No supernatural rule is added.</x:v>
      </x:c>
      <x:c r="F223" s="49" t="str">
        <x:v>the guest asked to speak with no preparation</x:v>
      </x:c>
      <x:c r="G223" s="49" t="str">
        <x:v>Bride Olivia Stone, asking you personally</x:v>
      </x:c>
      <x:c r="H223" s="49" t="str">
        <x:v>Maple</x:v>
      </x:c>
      <x:c r="I223" s="49" t="str">
        <x:v>朗らかで率直。軽快、日常、サービス場面に合う</x:v>
      </x:c>
      <x:c r="J223" s="49" t="str">
        <x:v>A2–B1</x:v>
      </x:c>
      <x:c r="K223" s="49" t="str">
        <x:v>やさしい</x:v>
      </x:c>
      <x:c r="L223" s="49" t="str">
        <x:v>短い返事でOK。選択肢や言い換えあり</x:v>
      </x:c>
      <x:c r="M223" s="49" t="str">
        <x:v>story planning and respectful humor</x:v>
      </x:c>
      <x:c r="N223" s="49" t="str">
        <x:v>one-to-one; contemporary pressure; relationship choice</x:v>
      </x:c>
      <x:c r="O223" s="49" t="str">
        <x:v>immediate, practical, and socially vivid</x:v>
      </x:c>
      <x:c r="P223" s="51" t="n">
        <x:v>10</x:v>
      </x:c>
      <x:c r="Q223" s="49" t="str">
        <x:v>decide whether to accept and gather the right stories and limits</x:v>
      </x:c>
      <x:c r="R223" s="49" t="str">
        <x:v>the master of ceremonies calls your name in five minutes</x:v>
      </x:c>
      <x:c r="S223" s="49" t="str">
        <x:v>Green</x:v>
      </x:c>
      <x:c r="T223" s="49" t="str">
        <x:v>IES_v7_02_SCENE_CARDS.md#T04</x:v>
      </x:c>
    </x:row>
    <x:row r="224" ht="44" customHeight="1">
      <x:c r="A224" s="49" t="str">
        <x:v>T05</x:v>
      </x:c>
      <x:c r="B224" s="49" t="str">
        <x:v>旅行・イベント</x:v>
      </x:c>
      <x:c r="C224" s="49" t="str">
        <x:v>The Conference Roommate</x:v>
      </x:c>
      <x:c r="D224" s="49" t="str">
        <x:v>旅先で元同僚と相部屋</x:v>
      </x:c>
      <x:c r="E224" s="49" t="str">
        <x:v>Present day; a conference hotel after a booking error. No supernatural rule is added.</x:v>
      </x:c>
      <x:c r="F224" s="49" t="str">
        <x:v>the attendee assigned to share with a former coworker</x:v>
      </x:c>
      <x:c r="G224" s="49" t="str">
        <x:v>Former colleague Nina Brooks, with whom you ended badly</x:v>
      </x:c>
      <x:c r="H224" s="49" t="str">
        <x:v>Maple</x:v>
      </x:c>
      <x:c r="I224" s="49" t="str">
        <x:v>朗らかで率直。軽快、日常、サービス場面に合う</x:v>
      </x:c>
      <x:c r="J224" s="49" t="str">
        <x:v>B1–B2</x:v>
      </x:c>
      <x:c r="K224" s="49" t="str">
        <x:v>ふつう</x:v>
      </x:c>
      <x:c r="L224" s="49" t="str">
        <x:v>2〜3文で自然に受け答え</x:v>
      </x:c>
      <x:c r="M224" s="49" t="str">
        <x:v>room-sharing negotiation and past repair</x:v>
      </x:c>
      <x:c r="N224" s="49" t="str">
        <x:v>one-to-one; contemporary pressure; relationship choice</x:v>
      </x:c>
      <x:c r="O224" s="49" t="str">
        <x:v>immediate, practical, and socially vivid</x:v>
      </x:c>
      <x:c r="P224" s="51" t="n">
        <x:v>12</x:v>
      </x:c>
      <x:c r="Q224" s="49" t="str">
        <x:v>set practical boundaries and discuss whether to request a change</x:v>
      </x:c>
      <x:c r="R224" s="49" t="str">
        <x:v>the city is fully booked</x:v>
      </x:c>
      <x:c r="S224" s="49" t="str">
        <x:v>Green</x:v>
      </x:c>
      <x:c r="T224" s="49" t="str">
        <x:v>IES_v7_02_SCENE_CARDS.md#T05</x:v>
      </x:c>
    </x:row>
    <x:row r="225" ht="44" customHeight="1">
      <x:c r="A225" s="49" t="str">
        <x:v>T06</x:v>
      </x:c>
      <x:c r="B225" s="49" t="str">
        <x:v>旅行・イベント</x:v>
      </x:c>
      <x:c r="C225" s="49" t="str">
        <x:v>The Scratch on the Rental Car</x:v>
      </x:c>
      <x:c r="D225" s="49" t="str">
        <x:v>レンタカーの傷</x:v>
      </x:c>
      <x:c r="E225" s="49" t="str">
        <x:v>Present day; a car-return lot before a flight. No supernatural rule is added.</x:v>
      </x:c>
      <x:c r="F225" s="49" t="str">
        <x:v>the driver disputing damage charges</x:v>
      </x:c>
      <x:c r="G225" s="49" t="str">
        <x:v>Inspector Sofia Martin, documenting the vehicle</x:v>
      </x:c>
      <x:c r="H225" s="49" t="str">
        <x:v>Maple</x:v>
      </x:c>
      <x:c r="I225" s="49" t="str">
        <x:v>朗らかで率直。軽快、日常、サービス場面に合う</x:v>
      </x:c>
      <x:c r="J225" s="49" t="str">
        <x:v>A2–B2</x:v>
      </x:c>
      <x:c r="K225" s="49" t="str">
        <x:v>やさしい</x:v>
      </x:c>
      <x:c r="L225" s="49" t="str">
        <x:v>短い返事でOK。選択肢や言い換えあり</x:v>
      </x:c>
      <x:c r="M225" s="49" t="str">
        <x:v>evidence and procedural negotiation</x:v>
      </x:c>
      <x:c r="N225" s="49" t="str">
        <x:v>one-to-one; contemporary pressure; relationship choice</x:v>
      </x:c>
      <x:c r="O225" s="49" t="str">
        <x:v>immediate, practical, and socially vivid</x:v>
      </x:c>
      <x:c r="P225" s="51" t="n">
        <x:v>10</x:v>
      </x:c>
      <x:c r="Q225" s="49" t="str">
        <x:v>compare pickup evidence and agree on the next review step</x:v>
      </x:c>
      <x:c r="R225" s="49" t="str">
        <x:v>check-in closes soon but leaving may weaken the dispute</x:v>
      </x:c>
      <x:c r="S225" s="49" t="str">
        <x:v>Green</x:v>
      </x:c>
      <x:c r="T225" s="49" t="str">
        <x:v>IES_v7_02_SCENE_CARDS.md#T06</x:v>
      </x:c>
    </x:row>
    <x:row r="226" ht="44" customHeight="1">
      <x:c r="A226" s="49" t="str">
        <x:v>T07</x:v>
      </x:c>
      <x:c r="B226" s="49" t="str">
        <x:v>旅行・イベント</x:v>
      </x:c>
      <x:c r="C226" s="49" t="str">
        <x:v>Turn Back or Continue?</x:v>
      </x:c>
      <x:c r="D226" s="49" t="str">
        <x:v>山岳ツアーの引き返し判断</x:v>
      </x:c>
      <x:c r="E226" s="49" t="str">
        <x:v>Present day; a mountain shelter as weather worsens. No supernatural rule is added.</x:v>
      </x:c>
      <x:c r="F226" s="49" t="str">
        <x:v>the group member asked for a decision</x:v>
      </x:c>
      <x:c r="G226" s="49" t="str">
        <x:v>Guide Harper Lee, responsible for safety</x:v>
      </x:c>
      <x:c r="H226" s="49" t="str">
        <x:v>Maple</x:v>
      </x:c>
      <x:c r="I226" s="49" t="str">
        <x:v>朗らかで率直。軽快、日常、サービス場面に合う</x:v>
      </x:c>
      <x:c r="J226" s="49" t="str">
        <x:v>B1–B2</x:v>
      </x:c>
      <x:c r="K226" s="49" t="str">
        <x:v>ふつう</x:v>
      </x:c>
      <x:c r="L226" s="49" t="str">
        <x:v>2〜3文で自然に受け答え</x:v>
      </x:c>
      <x:c r="M226" s="49" t="str">
        <x:v>risk questions and group decision</x:v>
      </x:c>
      <x:c r="N226" s="49" t="str">
        <x:v>one-to-one; contemporary pressure; relationship choice</x:v>
      </x:c>
      <x:c r="O226" s="49" t="str">
        <x:v>immediate, practical, and socially vivid</x:v>
      </x:c>
      <x:c r="P226" s="51" t="n">
        <x:v>12</x:v>
      </x:c>
      <x:c r="Q226" s="49" t="str">
        <x:v>understand the forecast and decide whether to abandon the summit</x:v>
      </x:c>
      <x:c r="R226" s="49" t="str">
        <x:v>some travelers paid for a once-in-a-lifetime attempt</x:v>
      </x:c>
      <x:c r="S226" s="49" t="str">
        <x:v>Green</x:v>
      </x:c>
      <x:c r="T226" s="49" t="str">
        <x:v>IES_v7_02_SCENE_CARDS.md#T07</x:v>
      </x:c>
    </x:row>
    <x:row r="227" ht="44" customHeight="1">
      <x:c r="A227" s="49" t="str">
        <x:v>T08</x:v>
      </x:c>
      <x:c r="B227" s="49" t="str">
        <x:v>旅行・イベント</x:v>
      </x:c>
      <x:c r="C227" s="49" t="str">
        <x:v>The Seat at the Summit</x:v>
      </x:c>
      <x:c r="D227" s="49" t="str">
        <x:v>国際会議の席順問題</x:v>
      </x:c>
      <x:c r="E227" s="49" t="str">
        <x:v>Present day; a diplomatic event hall before delegates enter. No supernatural rule is added.</x:v>
      </x:c>
      <x:c r="F227" s="49" t="str">
        <x:v>the protocol assistant handling an offended guest</x:v>
      </x:c>
      <x:c r="G227" s="49" t="str">
        <x:v>Delegate Amina Hassan, whose assigned seat implies lower status</x:v>
      </x:c>
      <x:c r="H227" s="49" t="str">
        <x:v>Maple</x:v>
      </x:c>
      <x:c r="I227" s="49" t="str">
        <x:v>朗らかで率直。軽快、日常、サービス場面に合う</x:v>
      </x:c>
      <x:c r="J227" s="49" t="str">
        <x:v>B2–C1</x:v>
      </x:c>
      <x:c r="K227" s="49" t="str">
        <x:v>しっかり</x:v>
      </x:c>
      <x:c r="L227" s="49" t="str">
        <x:v>理由説明や交渉まで</x:v>
      </x:c>
      <x:c r="M227" s="49" t="str">
        <x:v>formal apology and protocol clarification</x:v>
      </x:c>
      <x:c r="N227" s="49" t="str">
        <x:v>one-to-one; contemporary pressure; relationship choice</x:v>
      </x:c>
      <x:c r="O227" s="49" t="str">
        <x:v>immediate, practical, and socially vivid</x:v>
      </x:c>
      <x:c r="P227" s="51" t="n">
        <x:v>10</x:v>
      </x:c>
      <x:c r="Q227" s="49" t="str">
        <x:v>correct the issue without admitting intentional disrespect</x:v>
      </x:c>
      <x:c r="R227" s="49" t="str">
        <x:v>the opening ceremony begins in seven minutes</x:v>
      </x:c>
      <x:c r="S227" s="49" t="str">
        <x:v>Green</x:v>
      </x:c>
      <x:c r="T227" s="49" t="str">
        <x:v>IES_v7_02_SCENE_CARDS.md#T08</x:v>
      </x:c>
    </x:row>
    <x:row r="228" ht="44" customHeight="1">
      <x:c r="A228" s="49" t="str">
        <x:v>T09</x:v>
      </x:c>
      <x:c r="B228" s="49" t="str">
        <x:v>旅行・イベント</x:v>
      </x:c>
      <x:c r="C228" s="49" t="str">
        <x:v>The Wallet at the Festival</x:v>
      </x:c>
      <x:c r="D228" s="49" t="str">
        <x:v>フェス会場で財布がない</x:v>
      </x:c>
      <x:c r="E228" s="49" t="str">
        <x:v>Present day; a crowded music festival information tent. No supernatural rule is added.</x:v>
      </x:c>
      <x:c r="F228" s="49" t="str">
        <x:v>the attendee missing identification and payment cards</x:v>
      </x:c>
      <x:c r="G228" s="49" t="str">
        <x:v>Staff member Zoe Clark, managing lost property</x:v>
      </x:c>
      <x:c r="H228" s="49" t="str">
        <x:v>Maple</x:v>
      </x:c>
      <x:c r="I228" s="49" t="str">
        <x:v>朗らかで率直。軽快、日常、サービス場面に合う</x:v>
      </x:c>
      <x:c r="J228" s="49" t="str">
        <x:v>A2–B1</x:v>
      </x:c>
      <x:c r="K228" s="49" t="str">
        <x:v>やさしい</x:v>
      </x:c>
      <x:c r="L228" s="49" t="str">
        <x:v>短い返事でOK。選択肢や言い換えあり</x:v>
      </x:c>
      <x:c r="M228" s="49" t="str">
        <x:v>description, verification, and contingency planning</x:v>
      </x:c>
      <x:c r="N228" s="49" t="str">
        <x:v>one-to-one; contemporary pressure; relationship choice</x:v>
      </x:c>
      <x:c r="O228" s="49" t="str">
        <x:v>immediate, practical, and socially vivid</x:v>
      </x:c>
      <x:c r="P228" s="51" t="n">
        <x:v>8</x:v>
      </x:c>
      <x:c r="Q228" s="49" t="str">
        <x:v>describe the item, verify ownership, and plan safe travel home</x:v>
      </x:c>
      <x:c r="R228" s="49" t="str">
        <x:v>your phone battery is nearly empty</x:v>
      </x:c>
      <x:c r="S228" s="49" t="str">
        <x:v>Green</x:v>
      </x:c>
      <x:c r="T228" s="49" t="str">
        <x:v>IES_v7_02_SCENE_CARDS.md#T09</x:v>
      </x:c>
    </x:row>
    <x:row r="229" ht="44" customHeight="1">
      <x:c r="A229" s="49" t="str">
        <x:v>T10</x:v>
      </x:c>
      <x:c r="B229" s="49" t="str">
        <x:v>旅行・イベント</x:v>
      </x:c>
      <x:c r="C229" s="49" t="str">
        <x:v>The Closed Trail</x:v>
      </x:c>
      <x:c r="D229" s="49" t="str">
        <x:v>観光地の閉鎖区域</x:v>
      </x:c>
      <x:c r="E229" s="49" t="str">
        <x:v>Present day; a national-park checkpoint. No supernatural rule is added.</x:v>
      </x:c>
      <x:c r="F229" s="49" t="str">
        <x:v>the traveler whose booked route is suddenly closed</x:v>
      </x:c>
      <x:c r="G229" s="49" t="str">
        <x:v>Ranger Emma Wilson, enforcing the closure</x:v>
      </x:c>
      <x:c r="H229" s="49" t="str">
        <x:v>Maple</x:v>
      </x:c>
      <x:c r="I229" s="49" t="str">
        <x:v>朗らかで率直。軽快、日常、サービス場面に合う</x:v>
      </x:c>
      <x:c r="J229" s="49" t="str">
        <x:v>A2–B1</x:v>
      </x:c>
      <x:c r="K229" s="49" t="str">
        <x:v>やさしい</x:v>
      </x:c>
      <x:c r="L229" s="49" t="str">
        <x:v>短い返事でOK。選択肢や言い換えあり</x:v>
      </x:c>
      <x:c r="M229" s="49" t="str">
        <x:v>route questions and safety compromise</x:v>
      </x:c>
      <x:c r="N229" s="49" t="str">
        <x:v>one-to-one; contemporary pressure; relationship choice</x:v>
      </x:c>
      <x:c r="O229" s="49" t="str">
        <x:v>immediate, practical, and socially vivid</x:v>
      </x:c>
      <x:c r="P229" s="51" t="n">
        <x:v>10</x:v>
      </x:c>
      <x:c r="Q229" s="49" t="str">
        <x:v>understand the danger and find an alternative matching your limits</x:v>
      </x:c>
      <x:c r="R229" s="49" t="str">
        <x:v>your transport pickup is scheduled at the original endpoint</x:v>
      </x:c>
      <x:c r="S229" s="49" t="str">
        <x:v>Green</x:v>
      </x:c>
      <x:c r="T229" s="49" t="str">
        <x:v>IES_v7_02_SCENE_CARDS.md#T10</x:v>
      </x:c>
    </x:row>
    <x:row r="230" ht="44" customHeight="1">
      <x:c r="A230" s="49" t="str">
        <x:v>T11</x:v>
      </x:c>
      <x:c r="B230" s="49" t="str">
        <x:v>旅行・イベント</x:v>
      </x:c>
      <x:c r="C230" s="49" t="str">
        <x:v>The Prescription Abroad</x:v>
      </x:c>
      <x:c r="D230" s="49" t="str">
        <x:v>海外で薬をなくした</x:v>
      </x:c>
      <x:c r="E230" s="49" t="str">
        <x:v>Present day; a foreign pharmacy during a holiday. No supernatural rule is added.</x:v>
      </x:c>
      <x:c r="F230" s="49" t="str">
        <x:v>the traveler needing replacement medication</x:v>
      </x:c>
      <x:c r="G230" s="49" t="str">
        <x:v>Pharmacist Lucia Meyer, checking what can legally be supplied</x:v>
      </x:c>
      <x:c r="H230" s="49" t="str">
        <x:v>Maple</x:v>
      </x:c>
      <x:c r="I230" s="49" t="str">
        <x:v>朗らかで率直。軽快、日常、サービス場面に合う</x:v>
      </x:c>
      <x:c r="J230" s="49" t="str">
        <x:v>A2–B2</x:v>
      </x:c>
      <x:c r="K230" s="49" t="str">
        <x:v>やさしい</x:v>
      </x:c>
      <x:c r="L230" s="49" t="str">
        <x:v>短い返事でOK。選択肢や言い換えあり</x:v>
      </x:c>
      <x:c r="M230" s="49" t="str">
        <x:v>health explanation and regulated requests</x:v>
      </x:c>
      <x:c r="N230" s="49" t="str">
        <x:v>one-to-one; contemporary pressure; relationship choice</x:v>
      </x:c>
      <x:c r="O230" s="49" t="str">
        <x:v>immediate, practical, and socially vivid</x:v>
      </x:c>
      <x:c r="P230" s="51" t="n">
        <x:v>10</x:v>
      </x:c>
      <x:c r="Q230" s="49" t="str">
        <x:v>explain the prescription and arrange a safe short-term option</x:v>
      </x:c>
      <x:c r="R230" s="49" t="str">
        <x:v>local clinics close in one hour</x:v>
      </x:c>
      <x:c r="S230" s="49" t="str">
        <x:v>Green</x:v>
      </x:c>
      <x:c r="T230" s="49" t="str">
        <x:v>IES_v7_02_SCENE_CARDS.md#T11</x:v>
      </x:c>
    </x:row>
    <x:row r="231" ht="44" customHeight="1">
      <x:c r="A231" s="49" t="str">
        <x:v>T12</x:v>
      </x:c>
      <x:c r="B231" s="49" t="str">
        <x:v>旅行・イベント</x:v>
      </x:c>
      <x:c r="C231" s="49" t="str">
        <x:v>The Missing Muster Drill</x:v>
      </x:c>
      <x:c r="D231" s="49" t="str">
        <x:v>豪華客船の避難訓練</x:v>
      </x:c>
      <x:c r="E231" s="49" t="str">
        <x:v>Present day; a cruise-ship corridor after a passenger misses safety briefing. No supernatural rule is added.</x:v>
      </x:c>
      <x:c r="F231" s="49" t="str">
        <x:v>the passenger asked to complete a private drill</x:v>
      </x:c>
      <x:c r="G231" s="49" t="str">
        <x:v>Officer Grace Hall, responsible for compliance</x:v>
      </x:c>
      <x:c r="H231" s="49" t="str">
        <x:v>Maple</x:v>
      </x:c>
      <x:c r="I231" s="49" t="str">
        <x:v>朗らかで率直。軽快、日常、サービス場面に合う</x:v>
      </x:c>
      <x:c r="J231" s="49" t="str">
        <x:v>A2–B1</x:v>
      </x:c>
      <x:c r="K231" s="49" t="str">
        <x:v>やさしい</x:v>
      </x:c>
      <x:c r="L231" s="49" t="str">
        <x:v>短い返事でOK。選択肢や言い換えあり</x:v>
      </x:c>
      <x:c r="M231" s="49" t="str">
        <x:v>apology, instructions, and confirmation</x:v>
      </x:c>
      <x:c r="N231" s="49" t="str">
        <x:v>one-to-one; contemporary pressure; relationship choice</x:v>
      </x:c>
      <x:c r="O231" s="49" t="str">
        <x:v>immediate, practical, and socially vivid</x:v>
      </x:c>
      <x:c r="P231" s="51" t="n">
        <x:v>8</x:v>
      </x:c>
      <x:c r="Q231" s="49" t="str">
        <x:v>explain the absence and learn the procedure without defensiveness</x:v>
      </x:c>
      <x:c r="R231" s="49" t="str">
        <x:v>departure clearance is delayed until the drill is complete</x:v>
      </x:c>
      <x:c r="S231" s="49" t="str">
        <x:v>Green</x:v>
      </x:c>
      <x:c r="T231" s="49" t="str">
        <x:v>IES_v7_02_SCENE_CARDS.md#T12</x:v>
      </x:c>
    </x:row>
    <x:row r="232" ht="44" customHeight="1">
      <x:c r="A232" s="49" t="str">
        <x:v>T13</x:v>
      </x:c>
      <x:c r="B232" s="49" t="str">
        <x:v>旅行・イベント</x:v>
      </x:c>
      <x:c r="C232" s="49" t="str">
        <x:v>The Invalid Invitation</x:v>
      </x:c>
      <x:c r="D232" s="49" t="str">
        <x:v>美術展の招待状が無効</x:v>
      </x:c>
      <x:c r="E232" s="49" t="str">
        <x:v>Present day; an exhibition entrance on opening night. No supernatural rule is added.</x:v>
      </x:c>
      <x:c r="F232" s="49" t="str">
        <x:v>the invited guest whose digital pass fails</x:v>
      </x:c>
      <x:c r="G232" s="49" t="str">
        <x:v>Curator Natalie Price, checking the list</x:v>
      </x:c>
      <x:c r="H232" s="49" t="str">
        <x:v>Maple</x:v>
      </x:c>
      <x:c r="I232" s="49" t="str">
        <x:v>朗らかで率直。軽快、日常、サービス場面に合う</x:v>
      </x:c>
      <x:c r="J232" s="49" t="str">
        <x:v>B1–B2</x:v>
      </x:c>
      <x:c r="K232" s="49" t="str">
        <x:v>ふつう</x:v>
      </x:c>
      <x:c r="L232" s="49" t="str">
        <x:v>2〜3文で自然に受け答え</x:v>
      </x:c>
      <x:c r="M232" s="49" t="str">
        <x:v>formal clarification and face-saving</x:v>
      </x:c>
      <x:c r="N232" s="49" t="str">
        <x:v>one-to-one; contemporary pressure; relationship choice</x:v>
      </x:c>
      <x:c r="O232" s="49" t="str">
        <x:v>immediate, practical, and socially vivid</x:v>
      </x:c>
      <x:c r="P232" s="51" t="n">
        <x:v>10</x:v>
      </x:c>
      <x:c r="Q232" s="49" t="str">
        <x:v>verify the invitation and avoid embarrassing the host</x:v>
      </x:c>
      <x:c r="R232" s="49" t="str">
        <x:v>the private artist talk starts in ten minutes</x:v>
      </x:c>
      <x:c r="S232" s="49" t="str">
        <x:v>Green</x:v>
      </x:c>
      <x:c r="T232" s="49" t="str">
        <x:v>IES_v7_02_SCENE_CARDS.md#T13</x:v>
      </x:c>
    </x:row>
    <x:row r="233" ht="44" customHeight="1">
      <x:c r="A233" s="49" t="str">
        <x:v>T14</x:v>
      </x:c>
      <x:c r="B233" s="49" t="str">
        <x:v>旅行・イベント</x:v>
      </x:c>
      <x:c r="C233" s="49" t="str">
        <x:v>The Homestay Rules</x:v>
      </x:c>
      <x:c r="D233" s="49" t="str">
        <x:v>留学先のホームステイ規則</x:v>
      </x:c>
      <x:c r="E233" s="49" t="str">
        <x:v>Present day; a family kitchen on the first evening abroad. No supernatural rule is added.</x:v>
      </x:c>
      <x:c r="F233" s="49" t="str">
        <x:v>the visiting student discussing expectations</x:v>
      </x:c>
      <x:c r="G233" s="49" t="str">
        <x:v>Host mother Maria Evans, explaining unfamiliar household norms</x:v>
      </x:c>
      <x:c r="H233" s="49" t="str">
        <x:v>Maple</x:v>
      </x:c>
      <x:c r="I233" s="49" t="str">
        <x:v>朗らかで率直。軽快、日常、サービス場面に合う</x:v>
      </x:c>
      <x:c r="J233" s="49" t="str">
        <x:v>A2–B1</x:v>
      </x:c>
      <x:c r="K233" s="49" t="str">
        <x:v>やさしい</x:v>
      </x:c>
      <x:c r="L233" s="49" t="str">
        <x:v>短い返事でOK。選択肢や言い換えあり</x:v>
      </x:c>
      <x:c r="M233" s="49" t="str">
        <x:v>household questions and cultural clarification</x:v>
      </x:c>
      <x:c r="N233" s="49" t="str">
        <x:v>one-to-one; contemporary pressure; relationship choice</x:v>
      </x:c>
      <x:c r="O233" s="49" t="str">
        <x:v>immediate, practical, and socially vivid</x:v>
      </x:c>
      <x:c r="P233" s="51" t="n">
        <x:v>10</x:v>
      </x:c>
      <x:c r="Q233" s="49" t="str">
        <x:v>clarify curfew, meals, privacy, and communication</x:v>
      </x:c>
      <x:c r="R233" s="49" t="str">
        <x:v>a misunderstanding has already occurred about tomorrow morning</x:v>
      </x:c>
      <x:c r="S233" s="49" t="str">
        <x:v>Green</x:v>
      </x:c>
      <x:c r="T233" s="49" t="str">
        <x:v>IES_v7_02_SCENE_CARDS.md#T14</x:v>
      </x:c>
    </x:row>
    <x:row r="234" ht="44" customHeight="1">
      <x:c r="A234" s="49" t="str">
        <x:v>T15</x:v>
      </x:c>
      <x:c r="B234" s="49" t="str">
        <x:v>旅行・イベント</x:v>
      </x:c>
      <x:c r="C234" s="49" t="str">
        <x:v>The Identical Suitcase</x:v>
      </x:c>
      <x:c r="D234" s="49" t="str">
        <x:v>空港で同じスーツケース</x:v>
      </x:c>
      <x:c r="E234" s="49" t="str">
        <x:v>Present day; a baggage-claim office after two travelers take identical luggage. No supernatural rule is added.</x:v>
      </x:c>
      <x:c r="F234" s="49" t="str">
        <x:v>one traveler trying to recover the correct bag</x:v>
      </x:c>
      <x:c r="G234" s="49" t="str">
        <x:v>Passenger Julia Kim, holding the other suitcase</x:v>
      </x:c>
      <x:c r="H234" s="49" t="str">
        <x:v>Maple</x:v>
      </x:c>
      <x:c r="I234" s="49" t="str">
        <x:v>朗らかで率直。軽快、日常、サービス場面に合う</x:v>
      </x:c>
      <x:c r="J234" s="49" t="str">
        <x:v>A2–B1</x:v>
      </x:c>
      <x:c r="K234" s="49" t="str">
        <x:v>やさしい</x:v>
      </x:c>
      <x:c r="L234" s="49" t="str">
        <x:v>短い返事でOK。選択肢や言い換えあり</x:v>
      </x:c>
      <x:c r="M234" s="49" t="str">
        <x:v>description and cooperative problem-solving</x:v>
      </x:c>
      <x:c r="N234" s="49" t="str">
        <x:v>one-to-one; contemporary pressure; relationship choice</x:v>
      </x:c>
      <x:c r="O234" s="49" t="str">
        <x:v>immediate, practical, and socially vivid</x:v>
      </x:c>
      <x:c r="P234" s="51" t="n">
        <x:v>8</x:v>
      </x:c>
      <x:c r="Q234" s="49" t="str">
        <x:v>verify contents respectfully and arrange the exchange</x:v>
      </x:c>
      <x:c r="R234" s="49" t="str">
        <x:v>Julia's connecting train leaves in fifteen minutes</x:v>
      </x:c>
      <x:c r="S234" s="49" t="str">
        <x:v>Green</x:v>
      </x:c>
      <x:c r="T234" s="49" t="str">
        <x:v>IES_v7_02_SCENE_CARDS.md#T15</x:v>
      </x:c>
    </x:row>
    <x:row r="235" ht="44" customHeight="1">
      <x:c r="A235" s="49" t="str">
        <x:v>T16</x:v>
      </x:c>
      <x:c r="B235" s="49" t="str">
        <x:v>旅行・イベント</x:v>
      </x:c>
      <x:c r="C235" s="49" t="str">
        <x:v>The Missing Interpreter</x:v>
      </x:c>
      <x:c r="D235" s="49" t="str">
        <x:v>出張先の通訳が来ない</x:v>
      </x:c>
      <x:c r="E235" s="49" t="str">
        <x:v>Present day; a client lobby before an important overseas meeting. No supernatural rule is added.</x:v>
      </x:c>
      <x:c r="F235" s="49" t="str">
        <x:v>the visitor expected to begin without language support</x:v>
      </x:c>
      <x:c r="G235" s="49" t="str">
        <x:v>Client director Hana Moore, willing to simplify the meeting</x:v>
      </x:c>
      <x:c r="H235" s="49" t="str">
        <x:v>Maple</x:v>
      </x:c>
      <x:c r="I235" s="49" t="str">
        <x:v>朗らかで率直。軽快、日常、サービス場面に合う</x:v>
      </x:c>
      <x:c r="J235" s="49" t="str">
        <x:v>B1–B2</x:v>
      </x:c>
      <x:c r="K235" s="49" t="str">
        <x:v>ふつう</x:v>
      </x:c>
      <x:c r="L235" s="49" t="str">
        <x:v>2〜3文で自然に受け答え</x:v>
      </x:c>
      <x:c r="M235" s="49" t="str">
        <x:v>plain-language negotiation and checking understanding</x:v>
      </x:c>
      <x:c r="N235" s="49" t="str">
        <x:v>one-to-one; contemporary pressure; relationship choice</x:v>
      </x:c>
      <x:c r="O235" s="49" t="str">
        <x:v>immediate, practical, and socially vivid</x:v>
      </x:c>
      <x:c r="P235" s="51" t="n">
        <x:v>12</x:v>
      </x:c>
      <x:c r="Q235" s="49" t="str">
        <x:v>set communication limits and agree on a safe agenda</x:v>
      </x:c>
      <x:c r="R235" s="49" t="str">
        <x:v>contract details cannot be misunderstood</x:v>
      </x:c>
      <x:c r="S235" s="49" t="str">
        <x:v>Green</x:v>
      </x:c>
      <x:c r="T235" s="49" t="str">
        <x:v>IES_v7_02_SCENE_CARDS.md#T16</x:v>
      </x:c>
    </x:row>
    <x:row r="236" ht="44" customHeight="1">
      <x:c r="A236" s="49" t="str">
        <x:v>T17</x:v>
      </x:c>
      <x:c r="B236" s="49" t="str">
        <x:v>旅行・イベント</x:v>
      </x:c>
      <x:c r="C236" s="49" t="str">
        <x:v>The Canceled Outdoor Show</x:v>
      </x:c>
      <x:c r="D236" s="49" t="str">
        <x:v>大雨で野外公演中止</x:v>
      </x:c>
      <x:c r="E236" s="49" t="str">
        <x:v>Present day; a festival control tent during severe weather. No supernatural rule is added.</x:v>
      </x:c>
      <x:c r="F236" s="49" t="str">
        <x:v>the event organizer making a public decision</x:v>
      </x:c>
      <x:c r="G236" s="49" t="str">
        <x:v>Headliner Maya Ross, whose team wants to delay rather than cancel</x:v>
      </x:c>
      <x:c r="H236" s="49" t="str">
        <x:v>Maple</x:v>
      </x:c>
      <x:c r="I236" s="49" t="str">
        <x:v>朗らかで率直。軽快、日常、サービス場面に合う</x:v>
      </x:c>
      <x:c r="J236" s="49" t="str">
        <x:v>B1–C1</x:v>
      </x:c>
      <x:c r="K236" s="49" t="str">
        <x:v>ふつう</x:v>
      </x:c>
      <x:c r="L236" s="49" t="str">
        <x:v>2〜3文で自然に受け答え</x:v>
      </x:c>
      <x:c r="M236" s="49" t="str">
        <x:v>risk communication and contingency planning</x:v>
      </x:c>
      <x:c r="N236" s="49" t="str">
        <x:v>one-to-one; contemporary pressure; relationship choice</x:v>
      </x:c>
      <x:c r="O236" s="49" t="str">
        <x:v>immediate, practical, and socially vivid</x:v>
      </x:c>
      <x:c r="P236" s="51" t="n">
        <x:v>12</x:v>
      </x:c>
      <x:c r="Q236" s="49" t="str">
        <x:v>balance safety, contracts, and audience communication</x:v>
      </x:c>
      <x:c r="R236" s="49" t="str">
        <x:v>lightning is moving toward the venue</x:v>
      </x:c>
      <x:c r="S236" s="49" t="str">
        <x:v>Green</x:v>
      </x:c>
      <x:c r="T236" s="49" t="str">
        <x:v>IES_v7_02_SCENE_CARDS.md#T17</x:v>
      </x:c>
    </x:row>
    <x:row r="237" ht="44" customHeight="1">
      <x:c r="A237" s="49" t="str">
        <x:v>T18</x:v>
      </x:c>
      <x:c r="B237" s="49" t="str">
        <x:v>旅行・イベント</x:v>
      </x:c>
      <x:c r="C237" s="49" t="str">
        <x:v>The Family Gift at Customs</x:v>
      </x:c>
      <x:c r="D237" s="49" t="str">
        <x:v>国境で贈り物を申告</x:v>
      </x:c>
      <x:c r="E237" s="49" t="str">
        <x:v>Present day; a land-border inspection point. No supernatural rule is added.</x:v>
      </x:c>
      <x:c r="F237" s="49" t="str">
        <x:v>the traveler carrying a valuable family gift</x:v>
      </x:c>
      <x:c r="G237" s="49" t="str">
        <x:v>Customs officer Elena Cruz, requesting a declaration</x:v>
      </x:c>
      <x:c r="H237" s="49" t="str">
        <x:v>Maple</x:v>
      </x:c>
      <x:c r="I237" s="49" t="str">
        <x:v>朗らかで率直。軽快、日常、サービス場面に合う</x:v>
      </x:c>
      <x:c r="J237" s="49" t="str">
        <x:v>A2–B2</x:v>
      </x:c>
      <x:c r="K237" s="49" t="str">
        <x:v>やさしい</x:v>
      </x:c>
      <x:c r="L237" s="49" t="str">
        <x:v>短い返事でOK。選択肢や言い換えあり</x:v>
      </x:c>
      <x:c r="M237" s="49" t="str">
        <x:v>formal description and compliance questions</x:v>
      </x:c>
      <x:c r="N237" s="49" t="str">
        <x:v>one-to-one; contemporary pressure; relationship choice</x:v>
      </x:c>
      <x:c r="O237" s="49" t="str">
        <x:v>immediate, practical, and socially vivid</x:v>
      </x:c>
      <x:c r="P237" s="51" t="n">
        <x:v>10</x:v>
      </x:c>
      <x:c r="Q237" s="49" t="str">
        <x:v>explain origin, value, and intended use honestly</x:v>
      </x:c>
      <x:c r="R237" s="49" t="str">
        <x:v>missing documentation may require temporary surrender</x:v>
      </x:c>
      <x:c r="S237" s="49" t="str">
        <x:v>Green</x:v>
      </x:c>
      <x:c r="T237" s="49" t="str">
        <x:v>IES_v7_02_SCENE_CARDS.md#T18</x:v>
      </x:c>
    </x:row>
    <x:row r="238" ht="44" customHeight="1">
      <x:c r="A238" s="49" t="str">
        <x:v>T19</x:v>
      </x:c>
      <x:c r="B238" s="49" t="str">
        <x:v>旅行・イベント</x:v>
      </x:c>
      <x:c r="C238" s="49" t="str">
        <x:v>The Proposal Plan Changes</x:v>
      </x:c>
      <x:c r="D238" s="49" t="str">
        <x:v>旅先のプロポーズ計画変更</x:v>
      </x:c>
      <x:c r="E238" s="49" t="str">
        <x:v>Present day; a hotel terrace before a planned proposal. No supernatural rule is added.</x:v>
      </x:c>
      <x:c r="F238" s="49" t="str">
        <x:v>the person reconsidering the timing</x:v>
      </x:c>
      <x:c r="G238" s="49" t="str">
        <x:v>Concierge Sofia Lane, who arranged the surprise</x:v>
      </x:c>
      <x:c r="H238" s="49" t="str">
        <x:v>Maple</x:v>
      </x:c>
      <x:c r="I238" s="49" t="str">
        <x:v>朗らかで率直。軽快、日常、サービス場面に合う</x:v>
      </x:c>
      <x:c r="J238" s="49" t="str">
        <x:v>A2–B1</x:v>
      </x:c>
      <x:c r="K238" s="49" t="str">
        <x:v>やさしい</x:v>
      </x:c>
      <x:c r="L238" s="49" t="str">
        <x:v>短い返事でOK。選択肢や言い換えあり</x:v>
      </x:c>
      <x:c r="M238" s="49" t="str">
        <x:v>private requests and changing plans</x:v>
      </x:c>
      <x:c r="N238" s="49" t="str">
        <x:v>one-to-one; contemporary pressure; relationship choice</x:v>
      </x:c>
      <x:c r="O238" s="49" t="str">
        <x:v>immediate, practical, and socially vivid</x:v>
      </x:c>
      <x:c r="P238" s="51" t="n">
        <x:v>10</x:v>
      </x:c>
      <x:c r="Q238" s="49" t="str">
        <x:v>change or cancel the plan without making the partner the subject of staff gossip</x:v>
      </x:c>
      <x:c r="R238" s="49" t="str">
        <x:v>the partner is arriving earlier than expected</x:v>
      </x:c>
      <x:c r="S238" s="49" t="str">
        <x:v>Green</x:v>
      </x:c>
      <x:c r="T238" s="49" t="str">
        <x:v>IES_v7_02_SCENE_CARDS.md#T19</x:v>
      </x:c>
    </x:row>
    <x:row r="239" ht="44" customHeight="1">
      <x:c r="A239" s="49" t="str">
        <x:v>T20</x:v>
      </x:c>
      <x:c r="B239" s="49" t="str">
        <x:v>旅行・イベント</x:v>
      </x:c>
      <x:c r="C239" s="49" t="str">
        <x:v>The Group Trip Budget</x:v>
      </x:c>
      <x:c r="D239" s="49" t="str">
        <x:v>卒業旅行の予算対立</x:v>
      </x:c>
      <x:c r="E239" s="49" t="str">
        <x:v>Present day; a station cafe while friends finalize a trip. No supernatural rule is added.</x:v>
      </x:c>
      <x:c r="F239" s="49" t="str">
        <x:v>the person who cannot afford the current plan</x:v>
      </x:c>
      <x:c r="G239" s="49" t="str">
        <x:v>Friend Chloe Adams, organizing bookings</x:v>
      </x:c>
      <x:c r="H239" s="49" t="str">
        <x:v>Maple</x:v>
      </x:c>
      <x:c r="I239" s="49" t="str">
        <x:v>朗らかで率直。軽快、日常、サービス場面に合う</x:v>
      </x:c>
      <x:c r="J239" s="49" t="str">
        <x:v>A2–B1</x:v>
      </x:c>
      <x:c r="K239" s="49" t="str">
        <x:v>やさしい</x:v>
      </x:c>
      <x:c r="L239" s="49" t="str">
        <x:v>短い返事でOK。選択肢や言い換えあり</x:v>
      </x:c>
      <x:c r="M239" s="49" t="str">
        <x:v>financial boundaries and group compromise</x:v>
      </x:c>
      <x:c r="N239" s="49" t="str">
        <x:v>one-to-one; contemporary pressure; relationship choice</x:v>
      </x:c>
      <x:c r="O239" s="49" t="str">
        <x:v>immediate, practical, and socially vivid</x:v>
      </x:c>
      <x:c r="P239" s="51" t="n">
        <x:v>10</x:v>
      </x:c>
      <x:c r="Q239" s="49" t="str">
        <x:v>state the budget honestly and propose inclusive alternatives</x:v>
      </x:c>
      <x:c r="R239" s="49" t="str">
        <x:v>nonrefundable reservations begin tonight</x:v>
      </x:c>
      <x:c r="S239" s="49" t="str">
        <x:v>Green</x:v>
      </x:c>
      <x:c r="T239" s="49" t="str">
        <x:v>IES_v7_02_SCENE_CARDS.md#T20</x:v>
      </x:c>
    </x:row>
    <x:row r="240" ht="44" customHeight="1">
      <x:c r="A240" s="49" t="str">
        <x:v>T21</x:v>
      </x:c>
      <x:c r="B240" s="49" t="str">
        <x:v>旅行・イベント</x:v>
      </x:c>
      <x:c r="C240" s="49" t="str">
        <x:v>The Overbooked Flight</x:v>
      </x:c>
      <x:c r="D240" s="49" t="str">
        <x:v>乗客ボランティアを頼まれる</x:v>
      </x:c>
      <x:c r="E240" s="49" t="str">
        <x:v>Present day; an airport gate during overbooking. No supernatural rule is added.</x:v>
      </x:c>
      <x:c r="F240" s="49" t="str">
        <x:v>the passenger considering a travel voucher</x:v>
      </x:c>
      <x:c r="G240" s="49" t="str">
        <x:v>Gate agent Priya Green, seeking volunteers</x:v>
      </x:c>
      <x:c r="H240" s="49" t="str">
        <x:v>Maple</x:v>
      </x:c>
      <x:c r="I240" s="49" t="str">
        <x:v>朗らかで率直。軽快、日常、サービス場面に合う</x:v>
      </x:c>
      <x:c r="J240" s="49" t="str">
        <x:v>A2–B2</x:v>
      </x:c>
      <x:c r="K240" s="49" t="str">
        <x:v>やさしい</x:v>
      </x:c>
      <x:c r="L240" s="49" t="str">
        <x:v>短い返事でOK。選択肢や言い換えあり</x:v>
      </x:c>
      <x:c r="M240" s="49" t="str">
        <x:v>conditional questions and decision-making</x:v>
      </x:c>
      <x:c r="N240" s="49" t="str">
        <x:v>one-to-one; contemporary pressure; relationship choice</x:v>
      </x:c>
      <x:c r="O240" s="49" t="str">
        <x:v>immediate, practical, and socially vivid</x:v>
      </x:c>
      <x:c r="P240" s="51" t="n">
        <x:v>10</x:v>
      </x:c>
      <x:c r="Q240" s="49" t="str">
        <x:v>ask about compensation, timing, baggage, and guarantees</x:v>
      </x:c>
      <x:c r="R240" s="49" t="str">
        <x:v>the offer changes as departure approaches</x:v>
      </x:c>
      <x:c r="S240" s="49" t="str">
        <x:v>Green</x:v>
      </x:c>
      <x:c r="T240" s="49" t="str">
        <x:v>IES_v7_02_SCENE_CARDS.md#T21</x:v>
      </x:c>
    </x:row>
    <x:row r="241" ht="44" customHeight="1">
      <x:c r="A241" s="50" t="str">
        <x:v>T22</x:v>
      </x:c>
      <x:c r="B241" s="50" t="str">
        <x:v>旅行・イベント</x:v>
      </x:c>
      <x:c r="C241" s="50" t="str">
        <x:v>The Photograph at Sunrise</x:v>
      </x:c>
      <x:c r="D241" s="50" t="str">
        <x:v>旅先で会った写真家</x:v>
      </x:c>
      <x:c r="E241" s="50" t="str">
        <x:v>Present day; a coastal viewpoint before dawn. No supernatural rule is added.</x:v>
      </x:c>
      <x:c r="F241" s="50" t="str">
        <x:v>the traveler who appears in a stranger's best photograph</x:v>
      </x:c>
      <x:c r="G241" s="50" t="str">
        <x:v>Photographer Leila Hart, asking permission to publish the image</x:v>
      </x:c>
      <x:c r="H241" s="50" t="str">
        <x:v>Maple</x:v>
      </x:c>
      <x:c r="I241" s="50" t="str">
        <x:v>朗らかで率直。軽快、日常、サービス場面に合う</x:v>
      </x:c>
      <x:c r="J241" s="50" t="str">
        <x:v>B1–B2</x:v>
      </x:c>
      <x:c r="K241" s="50" t="str">
        <x:v>ふつう</x:v>
      </x:c>
      <x:c r="L241" s="50" t="str">
        <x:v>2〜3文で自然に受け答え</x:v>
      </x:c>
      <x:c r="M241" s="50" t="str">
        <x:v>consent, licensing, and personal boundaries</x:v>
      </x:c>
      <x:c r="N241" s="50" t="str">
        <x:v>one-to-one; contemporary pressure; relationship choice</x:v>
      </x:c>
      <x:c r="O241" s="50" t="str">
        <x:v>immediate, practical, and socially vivid</x:v>
      </x:c>
      <x:c r="P241" s="52" t="n">
        <x:v>12</x:v>
      </x:c>
      <x:c r="Q241" s="50" t="str">
        <x:v>understand intended use and set consent conditions</x:v>
      </x:c>
      <x:c r="R241" s="50" t="str">
        <x:v>the image has already been shortlisted for a contest</x:v>
      </x:c>
      <x:c r="S241" s="50" t="str">
        <x:v>Green</x:v>
      </x:c>
      <x:c r="T241" s="50" t="str">
        <x:v>IES_v7_02_SCENE_CARDS.md#T22</x:v>
      </x:c>
    </x:row>
  </x:sheetData>
  <x:conditionalFormatting sqref="S2:S241">
    <x:cfRule type="containsText" dxfId="0" priority="1" operator="containsText" text="Amber"/>
    <x:cfRule type="containsText" dxfId="1" priority="2" operator="containsText" text="Green"/>
  </x:conditionalFormatting>
  <x:pageMargins left="0.7" right="0.7" top="0.75" bottom="0.75" header="0.3" footer="0.3"/>
  <x:tableParts count="1">
    <x:tablePart xmlns:r="http://schemas.openxmlformats.org/officeDocument/2006/relationships" r:id="Rc752adcb4a194498"/>
  </x:tableParts>
</x:worksheet>
</file>