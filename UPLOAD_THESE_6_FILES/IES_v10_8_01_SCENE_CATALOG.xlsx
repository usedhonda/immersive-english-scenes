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725650b8f746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Start" sheetId="1" r:id="R1c7e305336cf47c8"/>
    <x:sheet xmlns:r="http://schemas.openxmlformats.org/officeDocument/2006/relationships" name="Scene Catalog" sheetId="2" r:id="R2482269cd7a841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E1B4B"/>
      <x:name val="Carlito"/>
    </x:font>
    <x:font>
      <x:b/>
      <x:sz val="11"/>
      <x:color rgb="FF312E81"/>
      <x:name val="Carlito"/>
    </x:font>
    <x:font>
      <x:sz val="11"/>
      <x:color rgb="FF334155"/>
      <x:name val="Carlito"/>
    </x:font>
    <x:font>
      <x:b/>
      <x:sz val="11"/>
      <x:color rgb="FF334155"/>
      <x:name val="Carlito"/>
    </x:font>
    <x:font>
      <x:b/>
      <x:sz val="11"/>
      <x:color rgb="FF92400E"/>
      <x:name val="Carlito"/>
    </x:font>
    <x:font>
      <x:i/>
      <x:sz val="11"/>
      <x:color rgb="FF64748B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12E81"/>
      </x:patternFill>
    </x:fill>
    <x:fill>
      <x:patternFill patternType="solid">
        <x:fgColor rgb="FFC7D2FE"/>
      </x:patternFill>
    </x:fill>
    <x:fill>
      <x:patternFill patternType="solid">
        <x:fgColor rgb="FFE0E7FF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10">
    <x:border/>
    <x:border>
      <x:left style="thin">
        <x:color rgb="FFA5B4FC"/>
      </x:left>
      <x:top style="thin">
        <x:color rgb="FFA5B4FC"/>
      </x:top>
    </x:border>
    <x:border>
      <x:right style="thin">
        <x:color rgb="FFA5B4FC"/>
      </x:right>
      <x:top style="thin">
        <x:color rgb="FFA5B4FC"/>
      </x:top>
    </x:border>
    <x:border>
      <x:left style="thin">
        <x:color rgb="FFA5B4FC"/>
      </x:left>
    </x:border>
    <x:border>
      <x:right style="thin">
        <x:color rgb="FFA5B4FC"/>
      </x:right>
    </x:border>
    <x:border>
      <x:left style="thin">
        <x:color rgb="FFA5B4FC"/>
      </x:left>
      <x:bottom style="thin">
        <x:color rgb="FFA5B4FC"/>
      </x:bottom>
    </x:border>
    <x:border>
      <x:right style="thin">
        <x:color rgb="FFA5B4FC"/>
      </x:right>
      <x:bottom style="thin">
        <x:color rgb="FFA5B4FC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3" fillId="4" borderId="0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0" fillId="5" borderId="0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2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7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8" fillId="2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6c1adf65ba4ecb" /><Relationship Type="http://schemas.openxmlformats.org/officeDocument/2006/relationships/theme" Target="/xl/theme/theme1.xml" Id="R264a127c56b94cd6" /><Relationship Type="http://schemas.openxmlformats.org/officeDocument/2006/relationships/sharedStrings" Target="/xl/sharedStrings.xml" Id="R31710acbf6374fbe" /><Relationship Type="http://schemas.openxmlformats.org/officeDocument/2006/relationships/worksheet" Target="/xl/worksheets/sheet1.xml" Id="R1c7e305336cf47c8" /><Relationship Type="http://schemas.openxmlformats.org/officeDocument/2006/relationships/worksheet" Target="/xl/worksheets/sheet2.xml" Id="R2482269cd7a841ea" /></Relationships>
</file>

<file path=xl/tables/table1.xml><?xml version="1.0" encoding="utf-8"?>
<x:table xmlns:x="http://schemas.openxmlformats.org/spreadsheetml/2006/main" id="1" name="SceneCatalogTable" displayName="SceneCatalogTable" ref="A1:W321" headerRowCount="1" totalsRowCount="0" totalsRowShown="0">
  <x:autoFilter ref="A1:W321"/>
  <x:tableColumns count="23">
    <x:tableColumn id="1" name="Scene ID"/>
    <x:tableColumn id="2" name="Genre"/>
    <x:tableColumn id="3" name="English Title"/>
    <x:tableColumn id="4" name="Japanese Title"/>
    <x:tableColumn id="5" name="World"/>
    <x:tableColumn id="6" name="You Are"/>
    <x:tableColumn id="7" name="Primary Counterpart"/>
    <x:tableColumn id="8" name="Recommended Voice"/>
    <x:tableColumn id="9" name="Voice Fit"/>
    <x:tableColumn id="10" name="Internal Level"/>
    <x:tableColumn id="11" name="Displayed Level"/>
    <x:tableColumn id="12" name="Level Support"/>
    <x:tableColumn id="13" name="Primary Skill"/>
    <x:tableColumn id="14" name="Mechanics"/>
    <x:tableColumn id="15" name="Tone"/>
    <x:tableColumn id="16" name="Minutes"/>
    <x:tableColumn id="17" name="Immediate Goal"/>
    <x:tableColumn id="18" name="Stakes"/>
    <x:tableColumn id="19" name="Risk"/>
    <x:tableColumn id="20" name="Card Anchor"/>
    <x:tableColumn id="21" name="Hook"/>
    <x:tableColumn id="22" name="Novelty Mechanic"/>
    <x:tableColumn id="23" name="Buck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76f3cedf314b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3" max="3" width="4" hidden="0" customWidth="1"/>
    <x:col min="4" max="4" width="2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29" t="str">
        <x:v>Immersive English Scenes — 320 Base Scenes / 1,280 Variations</x:v>
      </x:c>
      <x:c r="B1" s="29"/>
      <x:c r="C1" s="29"/>
      <x:c r="D1" s="29"/>
      <x:c r="E1" s="29"/>
      <x:c r="F1" s="29"/>
      <x:c r="G1" s="29"/>
      <x:c r="H1" s="29"/>
    </x:row>
    <x:row r="2">
      <x:c r="A2" s="46"/>
      <x:c r="B2" s="46"/>
      <x:c r="C2" s="46"/>
      <x:c r="D2" s="46"/>
      <x:c r="E2" s="46"/>
      <x:c r="F2" s="46"/>
      <x:c r="G2" s="46"/>
      <x:c r="H2" s="46"/>
    </x:row>
    <x:row r="3">
      <x:c r="A3" s="47" t="str">
        <x:v>Metric</x:v>
      </x:c>
      <x:c r="B3" s="48" t="str">
        <x:v>Value</x:v>
      </x:c>
      <x:c r="C3" s="46"/>
      <x:c r="D3" s="47" t="str">
        <x:v>Genre</x:v>
      </x:c>
      <x:c r="E3" s="48" t="str">
        <x:v>Scenes</x:v>
      </x:c>
      <x:c r="F3" s="46"/>
      <x:c r="G3" s="46"/>
      <x:c r="H3" s="46"/>
    </x:row>
    <x:row r="4">
      <x:c r="A4" s="49" t="str">
        <x:v>Total scenes</x:v>
      </x:c>
      <x:c r="B4" s="50" t="n">
        <x:f>COUNTA('Scene Catalog'!$A$2:$A$321)</x:f>
        <x:v>320</x:v>
      </x:c>
      <x:c r="C4" s="46"/>
      <x:c r="D4" s="49" t="str">
        <x:v>学園・青春</x:v>
      </x:c>
      <x:c r="E4" s="50" t="n">
        <x:f>COUNTIF('Scene Catalog'!$B$2:$B$321,D4)</x:f>
        <x:v>8</x:v>
      </x:c>
      <x:c r="F4" s="46"/>
      <x:c r="G4" s="46"/>
      <x:c r="H4" s="46"/>
    </x:row>
    <x:row r="5">
      <x:c r="A5" s="49" t="str">
        <x:v>Upload file count</x:v>
      </x:c>
      <x:c r="B5" s="50" t="n">
        <x:v>6</x:v>
      </x:c>
      <x:c r="C5" s="46"/>
      <x:c r="D5" s="49" t="str">
        <x:v>BL・GL起点</x:v>
      </x:c>
      <x:c r="E5" s="50" t="n">
        <x:f>COUNTIF('Scene Catalog'!$B$2:$B$321,D5)</x:f>
        <x:v>8</x:v>
      </x:c>
      <x:c r="F5" s="46"/>
      <x:c r="G5" s="46"/>
      <x:c r="H5" s="46"/>
    </x:row>
    <x:row r="6">
      <x:c r="A6" s="49" t="str">
        <x:v>Default level</x:v>
      </x:c>
      <x:c r="B6" s="50" t="str">
        <x:v>ふつう</x:v>
      </x:c>
      <x:c r="C6" s="46"/>
      <x:c r="D6" s="49" t="str">
        <x:v>執愛・狂愛</x:v>
      </x:c>
      <x:c r="E6" s="50" t="n">
        <x:f>COUNTIF('Scene Catalog'!$B$2:$B$321,D6)</x:f>
        <x:v>8</x:v>
      </x:c>
      <x:c r="F6" s="46"/>
      <x:c r="G6" s="46"/>
      <x:c r="H6" s="46"/>
    </x:row>
    <x:row r="7">
      <x:c r="A7" s="51" t="str">
        <x:v>Menu buckets</x:v>
      </x:c>
      <x:c r="B7" s="52" t="str">
        <x:v>practical / drama / high-concept</x:v>
      </x:c>
      <x:c r="C7" s="46"/>
      <x:c r="D7" s="49" t="str">
        <x:v>専門職</x:v>
      </x:c>
      <x:c r="E7" s="50" t="n">
        <x:f>COUNTIF('Scene Catalog'!$B$2:$B$321,D7)</x:f>
        <x:v>8</x:v>
      </x:c>
      <x:c r="F7" s="46"/>
      <x:c r="G7" s="46"/>
      <x:c r="H7" s="46"/>
    </x:row>
    <x:row r="8">
      <x:c r="A8" s="46"/>
      <x:c r="B8" s="46"/>
      <x:c r="C8" s="46"/>
      <x:c r="D8" s="49" t="str">
        <x:v>マルチキャラ</x:v>
      </x:c>
      <x:c r="E8" s="50" t="n">
        <x:f>COUNTIF('Scene Catalog'!$B$2:$B$321,D8)</x:f>
        <x:v>8</x:v>
      </x:c>
      <x:c r="F8" s="46"/>
      <x:c r="G8" s="46"/>
      <x:c r="H8" s="46"/>
    </x:row>
    <x:row r="9">
      <x:c r="A9" s="46"/>
      <x:c r="B9" s="46"/>
      <x:c r="C9" s="46"/>
      <x:c r="D9" s="49" t="str">
        <x:v>裏社会</x:v>
      </x:c>
      <x:c r="E9" s="50" t="n">
        <x:f>COUNTIF('Scene Catalog'!$B$2:$B$321,D9)</x:f>
        <x:v>8</x:v>
      </x:c>
      <x:c r="F9" s="46"/>
      <x:c r="G9" s="46"/>
      <x:c r="H9" s="46"/>
    </x:row>
    <x:row r="10">
      <x:c r="A10" s="46"/>
      <x:c r="B10" s="46"/>
      <x:c r="C10" s="46"/>
      <x:c r="D10" s="49" t="str">
        <x:v>現代ファンタジー</x:v>
      </x:c>
      <x:c r="E10" s="50" t="n">
        <x:f>COUNTIF('Scene Catalog'!$B$2:$B$321,D10)</x:f>
        <x:v>8</x:v>
      </x:c>
      <x:c r="F10" s="46"/>
      <x:c r="G10" s="46"/>
      <x:c r="H10" s="46"/>
    </x:row>
    <x:row r="11">
      <x:c r="A11" s="46"/>
      <x:c r="B11" s="46"/>
      <x:c r="C11" s="46"/>
      <x:c r="D11" s="49" t="str">
        <x:v>異種族</x:v>
      </x:c>
      <x:c r="E11" s="50" t="n">
        <x:f>COUNTIF('Scene Catalog'!$B$2:$B$321,D11)</x:f>
        <x:v>8</x:v>
      </x:c>
      <x:c r="F11" s="46"/>
      <x:c r="G11" s="46"/>
      <x:c r="H11" s="46"/>
    </x:row>
    <x:row r="12">
      <x:c r="A12" s="46"/>
      <x:c r="B12" s="46"/>
      <x:c r="C12" s="46"/>
      <x:c r="D12" s="49" t="str">
        <x:v>近未来</x:v>
      </x:c>
      <x:c r="E12" s="50" t="n">
        <x:f>COUNTIF('Scene Catalog'!$B$2:$B$321,D12)</x:f>
        <x:v>5</x:v>
      </x:c>
      <x:c r="F12" s="46"/>
      <x:c r="G12" s="46"/>
      <x:c r="H12" s="46"/>
    </x:row>
    <x:row r="13">
      <x:c r="A13" s="46"/>
      <x:c r="B13" s="46"/>
      <x:c r="C13" s="46"/>
      <x:c r="D13" s="49" t="str">
        <x:v>もしもの歴史</x:v>
      </x:c>
      <x:c r="E13" s="50" t="n">
        <x:f>COUNTIF('Scene Catalog'!$B$2:$B$321,D13)</x:f>
        <x:v>5</x:v>
      </x:c>
      <x:c r="F13" s="46"/>
      <x:c r="G13" s="46"/>
      <x:c r="H13" s="46"/>
    </x:row>
    <x:row r="14">
      <x:c r="A14" s="46"/>
      <x:c r="B14" s="46"/>
      <x:c r="C14" s="46"/>
      <x:c r="D14" s="49" t="str">
        <x:v>現実の裂け目</x:v>
      </x:c>
      <x:c r="E14" s="50" t="n">
        <x:f>COUNTIF('Scene Catalog'!$B$2:$B$321,D14)</x:f>
        <x:v>5</x:v>
      </x:c>
      <x:c r="F14" s="46"/>
      <x:c r="G14" s="46"/>
      <x:c r="H14" s="46"/>
    </x:row>
    <x:row r="15">
      <x:c r="A15" s="46"/>
      <x:c r="B15" s="46"/>
      <x:c r="C15" s="46"/>
      <x:c r="D15" s="49" t="str">
        <x:v>神話と異界</x:v>
      </x:c>
      <x:c r="E15" s="50" t="n">
        <x:f>COUNTIF('Scene Catalog'!$B$2:$B$321,D15)</x:f>
        <x:v>5</x:v>
      </x:c>
      <x:c r="F15" s="46"/>
      <x:c r="G15" s="46"/>
      <x:c r="H15" s="46"/>
    </x:row>
    <x:row r="16">
      <x:c r="A16" s="46"/>
      <x:c r="B16" s="46"/>
      <x:c r="C16" s="46"/>
      <x:c r="D16" s="49" t="str">
        <x:v>現代オフィス</x:v>
      </x:c>
      <x:c r="E16" s="50" t="n">
        <x:f>COUNTIF('Scene Catalog'!$B$2:$B$321,D16)</x:f>
        <x:v>32</x:v>
      </x:c>
      <x:c r="F16" s="46"/>
      <x:c r="G16" s="46"/>
      <x:c r="H16" s="46"/>
    </x:row>
    <x:row r="17">
      <x:c r="A17" s="46"/>
      <x:c r="B17" s="46"/>
      <x:c r="C17" s="46"/>
      <x:c r="D17" s="49" t="str">
        <x:v>医療・ケア</x:v>
      </x:c>
      <x:c r="E17" s="50" t="n">
        <x:f>COUNTIF('Scene Catalog'!$B$2:$B$321,D17)</x:f>
        <x:v>32</x:v>
      </x:c>
      <x:c r="F17" s="46"/>
      <x:c r="G17" s="46"/>
      <x:c r="H17" s="46"/>
    </x:row>
    <x:row r="18">
      <x:c r="A18" s="46"/>
      <x:c r="B18" s="46"/>
      <x:c r="C18" s="46"/>
      <x:c r="D18" s="49" t="str">
        <x:v>法律・公共</x:v>
      </x:c>
      <x:c r="E18" s="50" t="n">
        <x:f>COUNTIF('Scene Catalog'!$B$2:$B$321,D18)</x:f>
        <x:v>32</x:v>
      </x:c>
      <x:c r="F18" s="46"/>
      <x:c r="G18" s="46"/>
      <x:c r="H18" s="46"/>
    </x:row>
    <x:row r="19">
      <x:c r="A19" s="46"/>
      <x:c r="B19" s="46"/>
      <x:c r="C19" s="46"/>
      <x:c r="D19" s="49" t="str">
        <x:v>芸能・クリエイター</x:v>
      </x:c>
      <x:c r="E19" s="50" t="n">
        <x:f>COUNTIF('Scene Catalog'!$B$2:$B$321,D19)</x:f>
        <x:v>27</x:v>
      </x:c>
      <x:c r="F19" s="46"/>
      <x:c r="G19" s="46"/>
      <x:c r="H19" s="46"/>
    </x:row>
    <x:row r="20">
      <x:c r="A20" s="46"/>
      <x:c r="B20" s="46"/>
      <x:c r="C20" s="46"/>
      <x:c r="D20" s="49" t="str">
        <x:v>接客・サービス</x:v>
      </x:c>
      <x:c r="E20" s="50" t="n">
        <x:f>COUNTIF('Scene Catalog'!$B$2:$B$321,D20)</x:f>
        <x:v>32</x:v>
      </x:c>
      <x:c r="F20" s="46"/>
      <x:c r="G20" s="46"/>
      <x:c r="H20" s="46"/>
    </x:row>
    <x:row r="21">
      <x:c r="A21" s="46"/>
      <x:c r="B21" s="46"/>
      <x:c r="C21" s="46"/>
      <x:c r="D21" s="49" t="str">
        <x:v>現代恋愛・再会</x:v>
      </x:c>
      <x:c r="E21" s="50" t="n">
        <x:f>COUNTIF('Scene Catalog'!$B$2:$B$321,D21)</x:f>
        <x:v>27</x:v>
      </x:c>
      <x:c r="F21" s="46"/>
      <x:c r="G21" s="46"/>
      <x:c r="H21" s="46"/>
    </x:row>
    <x:row r="22">
      <x:c r="A22" s="53" t="str">
        <x:v>Start with one sentence</x:v>
      </x:c>
      <x:c r="B22" s="53"/>
      <x:c r="C22" s="53"/>
      <x:c r="D22" s="54" t="str">
        <x:v>家族・近隣・日常</x:v>
      </x:c>
      <x:c r="E22" s="55" t="n">
        <x:f>COUNTIF('Scene Catalog'!$B$2:$B$321,D22)</x:f>
        <x:v>27</x:v>
      </x:c>
      <x:c r="F22" s="53"/>
      <x:c r="G22" s="53"/>
      <x:c r="H22" s="53"/>
    </x:row>
    <x:row r="23">
      <x:c r="A23" s="56" t="str">
        <x:v>Hi.</x:v>
      </x:c>
      <x:c r="B23" s="56"/>
      <x:c r="C23" s="56"/>
      <x:c r="D23" s="57"/>
      <x:c r="E23" s="58"/>
      <x:c r="F23" s="56"/>
      <x:c r="G23" s="56"/>
      <x:c r="H23" s="56"/>
    </x:row>
    <x:row r="24">
      <x:c r="A24" s="56" t="str">
        <x:v>仕事もの</x:v>
      </x:c>
      <x:c r="B24" s="56"/>
      <x:c r="C24" s="56"/>
      <x:c r="D24" s="56"/>
      <x:c r="E24" s="56"/>
      <x:c r="F24" s="56"/>
      <x:c r="G24" s="56"/>
      <x:c r="H24" s="56"/>
    </x:row>
    <x:row r="25">
      <x:c r="A25" s="56" t="str">
        <x:v>現代恋愛、ふつう、女性一人と話す</x:v>
      </x:c>
      <x:c r="B25" s="56"/>
      <x:c r="C25" s="56"/>
      <x:c r="D25" s="59"/>
      <x:c r="E25" s="59"/>
      <x:c r="F25" s="56"/>
      <x:c r="G25" s="56"/>
      <x:c r="H25" s="56"/>
    </x:row>
    <x:row r="26">
      <x:c r="A26" s="56" t="str">
        <x:v>医療か法律、緊張感は低め</x:v>
      </x:c>
      <x:c r="B26" s="56"/>
      <x:c r="C26" s="56"/>
      <x:c r="D26" s="56"/>
      <x:c r="E26" s="56"/>
      <x:c r="F26" s="56"/>
      <x:c r="G26" s="56"/>
      <x:c r="H26" s="56"/>
    </x:row>
    <x:row r="27">
      <x:c r="A27" s="56" t="str">
        <x:v>異種族、ふつう、短め</x:v>
      </x:c>
      <x:c r="B27" s="56"/>
      <x:c r="C27" s="56"/>
      <x:c r="D27" s="56"/>
      <x:c r="E27" s="56"/>
      <x:c r="F27" s="56"/>
      <x:c r="G27" s="56"/>
      <x:c r="H27" s="56"/>
    </x:row>
    <x:row r="28">
      <x:c r="A28" s="56" t="str">
        <x:v>裏社会、しっかり、交渉中心</x:v>
      </x:c>
      <x:c r="B28" s="56"/>
      <x:c r="C28" s="56"/>
      <x:c r="D28" s="56"/>
      <x:c r="E28" s="56"/>
      <x:c r="F28" s="56"/>
      <x:c r="G28" s="56"/>
      <x:c r="H28" s="56"/>
    </x:row>
    <x:row r="29">
      <x:c r="A29" s="56" t="str">
        <x:v>マルチキャラ、前回と違うもの</x:v>
      </x:c>
      <x:c r="B29" s="56"/>
      <x:c r="C29" s="56"/>
      <x:c r="D29" s="56"/>
      <x:c r="E29" s="56"/>
      <x:c r="F29" s="56"/>
      <x:c r="G29" s="56"/>
      <x:c r="H29" s="56"/>
    </x:row>
    <x:row r="30">
      <x:c r="A30" s="46"/>
      <x:c r="B30" s="46"/>
      <x:c r="C30" s="46"/>
      <x:c r="D30" s="46"/>
      <x:c r="E30" s="46"/>
      <x:c r="F30" s="46"/>
      <x:c r="G30" s="46"/>
      <x:c r="H30" s="46"/>
    </x:row>
    <x:row r="31">
      <x:c r="A31" s="60" t="str">
        <x:v>Files: 00 map → 01 catalog → 02 cards → 03 rules → 04 rationale → 05 manga bible</x:v>
      </x:c>
      <x:c r="B31" s="60"/>
      <x:c r="C31" s="60"/>
      <x:c r="D31" s="60"/>
      <x:c r="E31" s="60"/>
      <x:c r="F31" s="60"/>
      <x:c r="G31" s="60"/>
      <x:c r="H31" s="60"/>
    </x:row>
    <x:row r="32">
      <x:c r="A32" s="46"/>
      <x:c r="B32" s="46"/>
      <x:c r="C32" s="46"/>
      <x:c r="D32" s="46"/>
      <x:c r="E32" s="46"/>
      <x:c r="F32" s="46"/>
      <x:c r="G32" s="46"/>
      <x:c r="H32" s="46"/>
    </x:row>
    <x:row r="33">
      <x:c r="A33" s="61" t="str">
        <x:v>Voice-first roleplay: one stable counterpart, clear prompts, and immediate English conversation.</x:v>
      </x:c>
      <x:c r="B33" s="61"/>
      <x:c r="C33" s="61"/>
      <x:c r="D33" s="61"/>
      <x:c r="E33" s="61"/>
      <x:c r="F33" s="61"/>
      <x:c r="G33" s="61"/>
      <x:c r="H33" s="61"/>
    </x:row>
  </x:sheetData>
  <x:mergeCells>
    <x:mergeCell ref="A1:H1"/>
    <x:mergeCell ref="A22:H22"/>
    <x:mergeCell ref="A23:H23"/>
    <x:mergeCell ref="A24:H24"/>
    <x:mergeCell ref="A25:H25"/>
    <x:mergeCell ref="A26:H26"/>
    <x:mergeCell ref="A27:H27"/>
    <x:mergeCell ref="A28:H28"/>
    <x:mergeCell ref="A29:H29"/>
    <x:mergeCell ref="A31:H31"/>
    <x:mergeCell ref="A33:H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8" hidden="0" customWidth="1"/>
    <x:col min="4" max="4" width="24" hidden="0" customWidth="1"/>
    <x:col min="5" max="5" width="48" hidden="0" customWidth="1"/>
    <x:col min="6" max="6" width="36" hidden="0" customWidth="1"/>
    <x:col min="7" max="7" width="38" hidden="0" customWidth="1"/>
    <x:col min="8" max="8" width="14" hidden="0" customWidth="1"/>
    <x:col min="9" max="9" width="30" hidden="0" customWidth="1"/>
    <x:col min="10" max="10" width="12" hidden="0" customWidth="1"/>
    <x:col min="11" max="11" width="14" hidden="0" customWidth="1"/>
    <x:col min="12" max="12" width="34" hidden="0" customWidth="1"/>
    <x:col min="13" max="13" width="34" hidden="0" customWidth="1"/>
    <x:col min="14" max="14" width="32" hidden="0" customWidth="1"/>
    <x:col min="15" max="15" width="22" hidden="0" customWidth="1"/>
    <x:col min="16" max="16" width="9" hidden="0" customWidth="1"/>
    <x:col min="17" max="17" width="42" hidden="0" customWidth="1"/>
    <x:col min="18" max="18" width="42" hidden="0" customWidth="1"/>
    <x:col min="19" max="19" width="10" hidden="0" customWidth="1"/>
    <x:col min="20" max="20" width="28" hidden="0" customWidth="1"/>
    <x:col min="21" max="21" width="30" hidden="0" customWidth="1"/>
    <x:col min="22" max="22" width="42" hidden="0" customWidth="1"/>
    <x:col min="23" max="23" width="14" hidden="0" customWidth="1"/>
  </x:cols>
  <x:sheetData>
    <x:row r="1" ht="30" customHeight="1">
      <x:c r="A1" s="68" t="str">
        <x:v>Scene ID</x:v>
      </x:c>
      <x:c r="B1" s="68" t="str">
        <x:v>Genre</x:v>
      </x:c>
      <x:c r="C1" s="68" t="str">
        <x:v>English Title</x:v>
      </x:c>
      <x:c r="D1" s="68" t="str">
        <x:v>Japanese Title</x:v>
      </x:c>
      <x:c r="E1" s="68" t="str">
        <x:v>World</x:v>
      </x:c>
      <x:c r="F1" s="68" t="str">
        <x:v>You Are</x:v>
      </x:c>
      <x:c r="G1" s="68" t="str">
        <x:v>Primary Counterpart</x:v>
      </x:c>
      <x:c r="H1" s="68" t="str">
        <x:v>Recommended Voice</x:v>
      </x:c>
      <x:c r="I1" s="68" t="str">
        <x:v>Voice Fit</x:v>
      </x:c>
      <x:c r="J1" s="68" t="str">
        <x:v>Internal Level</x:v>
      </x:c>
      <x:c r="K1" s="68" t="str">
        <x:v>Displayed Level</x:v>
      </x:c>
      <x:c r="L1" s="68" t="str">
        <x:v>Level Support</x:v>
      </x:c>
      <x:c r="M1" s="68" t="str">
        <x:v>Primary Skill</x:v>
      </x:c>
      <x:c r="N1" s="68" t="str">
        <x:v>Mechanics</x:v>
      </x:c>
      <x:c r="O1" s="68" t="str">
        <x:v>Tone</x:v>
      </x:c>
      <x:c r="P1" s="68" t="str">
        <x:v>Minutes</x:v>
      </x:c>
      <x:c r="Q1" s="68" t="str">
        <x:v>Immediate Goal</x:v>
      </x:c>
      <x:c r="R1" s="68" t="str">
        <x:v>Stakes</x:v>
      </x:c>
      <x:c r="S1" s="68" t="str">
        <x:v>Risk</x:v>
      </x:c>
      <x:c r="T1" s="68" t="str">
        <x:v>Card Anchor</x:v>
      </x:c>
      <x:c r="U1" s="68" t="str">
        <x:v>Hook</x:v>
      </x:c>
      <x:c r="V1" s="68" t="str">
        <x:v>Novelty Mechanic</x:v>
      </x:c>
      <x:c r="W1" s="68" t="str">
        <x:v>Bucket</x:v>
      </x:c>
    </x:row>
    <x:row r="2" ht="44" customHeight="1">
      <x:c r="A2" s="69" t="str">
        <x:v>A01</x:v>
      </x:c>
      <x:c r="B2" s="69" t="str">
        <x:v>学園・青春</x:v>
      </x:c>
      <x:c r="C2" s="69" t="str">
        <x:v>The Dragon-Rider Election</x:v>
      </x:c>
      <x:c r="D2" s="69" t="str">
        <x:v>竜騎士学園の選挙</x:v>
      </x:c>
      <x:c r="E2" s="69" t="str">
        <x:v>A cliffside academy where students bond with dragons and elect one student to command the graduating flight.</x:v>
      </x:c>
      <x:c r="F2" s="69" t="str">
        <x:v>A candidate whose young dragon rejected the ceremonial saddle.</x:v>
      </x:c>
      <x:c r="G2" s="69" t="str">
        <x:v>Seris: strict election chair</x:v>
      </x:c>
      <x:c r="H2" s="69" t="str">
        <x:v>Breeze</x:v>
      </x:c>
      <x:c r="I2" s="69" t="str">
        <x:v>表情豊かで真剣。緊迫、怪異、冒険に合う</x:v>
      </x:c>
      <x:c r="J2" s="69" t="str">
        <x:v>B1–B2</x:v>
      </x:c>
      <x:c r="K2" s="69" t="str">
        <x:v>ふつう</x:v>
      </x:c>
      <x:c r="L2" s="69" t="str">
        <x:v>2〜3文で自然に受け答え</x:v>
      </x:c>
      <x:c r="M2" s="69" t="str">
        <x:v>Persuasion and answering hostile questions</x:v>
      </x:c>
      <x:c r="N2" s="69" t="str">
        <x:v>rivalry; status; public debate</x:v>
      </x:c>
      <x:c r="O2" s="69" t="str">
        <x:v>tense but witty</x:v>
      </x:c>
      <x:c r="P2" s="71" t="n">
        <x:v>12</x:v>
      </x:c>
      <x:c r="Q2" s="69" t="str">
        <x:v>The final debate begins while the whole academy watches from the aerial arena.</x:v>
      </x:c>
      <x:c r="R2" s="69" t="str">
        <x:v>Seris may disqualify you unless you explain why Brim's refusal proves judgment rather than incompetence.</x:v>
      </x:c>
      <x:c r="S2" s="69" t="str">
        <x:v>Green</x:v>
      </x:c>
      <x:c r="T2" s="69" t="str">
        <x:v>IES_v10_8_02_SCENE_CARDS.md#A01</x:v>
      </x:c>
      <x:c r="U2" s="69" t="str">
        <x:v>竜騎士学園の選挙</x:v>
      </x:c>
      <x:c r="V2" s="69" t="str">
        <x:v>rivalry; status; public debate; distinctive beat: brim reveals an embarrassing but useful fact</x:v>
      </x:c>
      <x:c r="W2" s="69" t="str">
        <x:v>highConcept</x:v>
      </x:c>
    </x:row>
    <x:row r="3" ht="44" customHeight="1">
      <x:c r="A3" s="69" t="str">
        <x:v>A02</x:v>
      </x:c>
      <x:c r="B3" s="69" t="str">
        <x:v>学園・青春</x:v>
      </x:c>
      <x:c r="C3" s="69" t="str">
        <x:v>Answers from the Dead</x:v>
      </x:c>
      <x:c r="D3" s="69" t="str">
        <x:v>死者が教える試験答案</x:v>
      </x:c>
      <x:c r="E3" s="69" t="str">
        <x:v>A candlelit examination hall built over a cemetery; certain exam papers answer back in the voices of former students.</x:v>
      </x:c>
      <x:c r="F3" s="69" t="str">
        <x:v>A student accused of cheating after a ghost corrected your essay.</x:v>
      </x:c>
      <x:c r="G3" s="69" t="str">
        <x:v>Ivy: anxious ghost</x:v>
      </x:c>
      <x:c r="H3" s="69" t="str">
        <x:v>Breeze</x:v>
      </x:c>
      <x:c r="I3" s="69" t="str">
        <x:v>表情豊かで真剣。緊迫、怪異、冒険に合う</x:v>
      </x:c>
      <x:c r="J3" s="69" t="str">
        <x:v>A2–B1</x:v>
      </x:c>
      <x:c r="K3" s="69" t="str">
        <x:v>やさしい</x:v>
      </x:c>
      <x:c r="L3" s="69" t="str">
        <x:v>短い返事でOK。選択肢や言い換えあり</x:v>
      </x:c>
      <x:c r="M3" s="69" t="str">
        <x:v>Clarifying facts and giving evidence</x:v>
      </x:c>
      <x:c r="N3" s="69" t="str">
        <x:v>mystery; accusation; supernatural rule</x:v>
      </x:c>
      <x:c r="O3" s="69" t="str">
        <x:v>eerie and procedural</x:v>
      </x:c>
      <x:c r="P3" s="71" t="n">
        <x:v>10</x:v>
      </x:c>
      <x:c r="Q3" s="69" t="str">
        <x:v>Your paper contains a paragraph in handwriting that is not yours.</x:v>
      </x:c>
      <x:c r="R3" s="69" t="str">
        <x:v>Maelin will fail you unless you establish who wrote it and whether you invited the help.</x:v>
      </x:c>
      <x:c r="S3" s="69" t="str">
        <x:v>Green</x:v>
      </x:c>
      <x:c r="T3" s="69" t="str">
        <x:v>IES_v10_8_02_SCENE_CARDS.md#A02</x:v>
      </x:c>
      <x:c r="U3" s="69" t="str">
        <x:v>死者が教える試験答案</x:v>
      </x:c>
      <x:c r="V3" s="69" t="str">
        <x:v>mystery; accusation; supernatural rule; distinctive beat: nara challenges one part of your timeline</x:v>
      </x:c>
      <x:c r="W3" s="69" t="str">
        <x:v>highConcept</x:v>
      </x:c>
    </x:row>
    <x:row r="4" ht="44" customHeight="1">
      <x:c r="A4" s="69" t="str">
        <x:v>A03</x:v>
      </x:c>
      <x:c r="B4" s="69" t="str">
        <x:v>学園・青春</x:v>
      </x:c>
      <x:c r="C4" s="69" t="str">
        <x:v>The Orchestra That Casts Spells</x:v>
      </x:c>
      <x:c r="D4" s="69" t="str">
        <x:v>魔法を奏でる楽団</x:v>
      </x:c>
      <x:c r="E4" s="69" t="str">
        <x:v>A conservatory where orchestras shape weather and architecture through live performance.</x:v>
      </x:c>
      <x:c r="F4" s="69" t="str">
        <x:v>The substitute conductor moments before a storm-calming concert.</x:v>
      </x:c>
      <x:c r="G4" s="69" t="str">
        <x:v>Liora: proud first violin</x:v>
      </x:c>
      <x:c r="H4" s="69" t="str">
        <x:v>Breeze</x:v>
      </x:c>
      <x:c r="I4" s="69" t="str">
        <x:v>表情豊かで真剣。緊迫、怪異、冒険に合う</x:v>
      </x:c>
      <x:c r="J4" s="69" t="str">
        <x:v>B1–B2</x:v>
      </x:c>
      <x:c r="K4" s="69" t="str">
        <x:v>ふつう</x:v>
      </x:c>
      <x:c r="L4" s="69" t="str">
        <x:v>2〜3文で自然に受け答え</x:v>
      </x:c>
      <x:c r="M4" s="69" t="str">
        <x:v>Giving precise instructions and resolving disagreement</x:v>
      </x:c>
      <x:c r="N4" s="69" t="str">
        <x:v>team coordination; magical performance; rivalry</x:v>
      </x:c>
      <x:c r="O4" s="69" t="str">
        <x:v>urgent and artistic</x:v>
      </x:c>
      <x:c r="P4" s="71" t="n">
        <x:v>12</x:v>
      </x:c>
      <x:c r="Q4" s="69" t="str">
        <x:v>The regular conductor has vanished, and the storm outside is responding to every wrong note.</x:v>
      </x:c>
      <x:c r="R4" s="69" t="str">
        <x:v>Liora and Dain demand opposite tempos while Nix refuses to play without an apology.</x:v>
      </x:c>
      <x:c r="S4" s="69" t="str">
        <x:v>Green</x:v>
      </x:c>
      <x:c r="T4" s="69" t="str">
        <x:v>IES_v10_8_02_SCENE_CARDS.md#A03</x:v>
      </x:c>
      <x:c r="U4" s="69" t="str">
        <x:v>魔法を奏でる楽団</x:v>
      </x:c>
      <x:c r="V4" s="69" t="str">
        <x:v>team coordination; magical performance; rivalry; distinctive beat: issue a revised plan using clear sequence language</x:v>
      </x:c>
      <x:c r="W4" s="69" t="str">
        <x:v>highConcept</x:v>
      </x:c>
    </x:row>
    <x:row r="5" ht="44" customHeight="1">
      <x:c r="A5" s="69" t="str">
        <x:v>A04</x:v>
      </x:c>
      <x:c r="B5" s="69" t="str">
        <x:v>学園・青春</x:v>
      </x:c>
      <x:c r="C5" s="69" t="str">
        <x:v>Curfew for a Shapeshifter</x:v>
      </x:c>
      <x:c r="D5" s="69" t="str">
        <x:v>変身者のいる寮の門限</x:v>
      </x:c>
      <x:c r="E5" s="69" t="str">
        <x:v>A moonlit boarding school whose dormitory locks itself when an unregistered shape enters.</x:v>
      </x:c>
      <x:c r="F5" s="69" t="str">
        <x:v>A prefect responsible for accounting for every resident.</x:v>
      </x:c>
      <x:c r="G5" s="69" t="str">
        <x:v>Orla: suspicious warden</x:v>
      </x:c>
      <x:c r="H5" s="69" t="str">
        <x:v>Vale</x:v>
      </x:c>
      <x:c r="I5" s="69" t="str">
        <x:v>明るく好奇心がある。知的な対話や謎解きに合う</x:v>
      </x:c>
      <x:c r="J5" s="69" t="str">
        <x:v>B1–B2</x:v>
      </x:c>
      <x:c r="K5" s="69" t="str">
        <x:v>ふつう</x:v>
      </x:c>
      <x:c r="L5" s="69" t="str">
        <x:v>2〜3文で自然に受け答え</x:v>
      </x:c>
      <x:c r="M5" s="69" t="str">
        <x:v>Interviewing and comparing accounts</x:v>
      </x:c>
      <x:c r="N5" s="69" t="str">
        <x:v>hidden identity; alibi; closed-room tension</x:v>
      </x:c>
      <x:c r="O5" s="69" t="str">
        <x:v>suspicious but nonviolent</x:v>
      </x:c>
      <x:c r="P5" s="71" t="n">
        <x:v>12</x:v>
      </x:c>
      <x:c r="Q5" s="69" t="str">
        <x:v>The dormitory seals all exits at midnight because it counts one person too many.</x:v>
      </x:c>
      <x:c r="R5" s="69" t="str">
        <x:v>Orla wants you to accuse someone immediately; a wrong accusation will erase the innocent student's face for a day.</x:v>
      </x:c>
      <x:c r="S5" s="69" t="str">
        <x:v>Green</x:v>
      </x:c>
      <x:c r="T5" s="69" t="str">
        <x:v>IES_v10_8_02_SCENE_CARDS.md#A04</x:v>
      </x:c>
      <x:c r="U5" s="69" t="str">
        <x:v>変身者のいる寮の門限</x:v>
      </x:c>
      <x:c r="V5" s="69" t="str">
        <x:v>hidden identity; alibi; closed-room tension; distinctive beat: notice a contradiction about curfew</x:v>
      </x:c>
      <x:c r="W5" s="69" t="str">
        <x:v>highConcept</x:v>
      </x:c>
    </x:row>
    <x:row r="6" ht="44" customHeight="1">
      <x:c r="A6" s="69" t="str">
        <x:v>A05</x:v>
      </x:c>
      <x:c r="B6" s="69" t="str">
        <x:v>学園・青春</x:v>
      </x:c>
      <x:c r="C6" s="69" t="str">
        <x:v>Alchemy of Borrowed Feelings</x:v>
      </x:c>
      <x:c r="D6" s="69" t="str">
        <x:v>感情を借りる錬金術</x:v>
      </x:c>
      <x:c r="E6" s="69" t="str">
        <x:v>An alchemy school where emotions can be distilled, exchanged, and accidentally spilled.</x:v>
      </x:c>
      <x:c r="F6" s="69" t="str">
        <x:v>The student who knocked over an experimental vial.</x:v>
      </x:c>
      <x:c r="G6" s="69" t="str">
        <x:v>Vera: controlled but furious</x:v>
      </x:c>
      <x:c r="H6" s="69" t="str">
        <x:v>Maple</x:v>
      </x:c>
      <x:c r="I6" s="69" t="str">
        <x:v>朗らかで率直。軽快、日常、サービス場面に合う</x:v>
      </x:c>
      <x:c r="J6" s="69" t="str">
        <x:v>A2–B2</x:v>
      </x:c>
      <x:c r="K6" s="69" t="str">
        <x:v>やさしい</x:v>
      </x:c>
      <x:c r="L6" s="69" t="str">
        <x:v>短い返事でOK。選択肢や言い換えあり</x:v>
      </x:c>
      <x:c r="M6" s="69" t="str">
        <x:v>Describing feelings and apologizing effectively</x:v>
      </x:c>
      <x:c r="N6" s="69" t="str">
        <x:v>emotion swap; rivalry; repair</x:v>
      </x:c>
      <x:c r="O6" s="69" t="str">
        <x:v>comic with real stakes</x:v>
      </x:c>
      <x:c r="P6" s="71" t="n">
        <x:v>10</x:v>
      </x:c>
      <x:c r="Q6" s="69" t="str">
        <x:v>Everyone in the laboratory is experiencing the wrong person's emotion.</x:v>
      </x:c>
      <x:c r="R6" s="69" t="str">
        <x:v>The antidote only works if each person accurately identifies what they feel and whose feeling it is.</x:v>
      </x:c>
      <x:c r="S6" s="69" t="str">
        <x:v>Green</x:v>
      </x:c>
      <x:c r="T6" s="69" t="str">
        <x:v>IES_v10_8_02_SCENE_CARDS.md#A05</x:v>
      </x:c>
      <x:c r="U6" s="69" t="str">
        <x:v>感情を借りる錬金術</x:v>
      </x:c>
      <x:c r="V6" s="69" t="str">
        <x:v>emotion swap; rivalry; repair; distinctive beat: give an apology without excuses</x:v>
      </x:c>
      <x:c r="W6" s="69" t="str">
        <x:v>highConcept</x:v>
      </x:c>
    </x:row>
    <x:row r="7" ht="44" customHeight="1">
      <x:c r="A7" s="69" t="str">
        <x:v>A06</x:v>
      </x:c>
      <x:c r="B7" s="69" t="str">
        <x:v>学園・青春</x:v>
      </x:c>
      <x:c r="C7" s="69" t="str">
        <x:v>The Seventh Final Festival</x:v>
      </x:c>
      <x:c r="D7" s="69" t="str">
        <x:v>七回目の卒業祭</x:v>
      </x:c>
      <x:c r="E7" s="69" t="str">
        <x:v>A traditional academy festival trapped in a seven-hour time loop that only two students remember.</x:v>
      </x:c>
      <x:c r="F7" s="69" t="str">
        <x:v>One of the two loop-aware students.</x:v>
      </x:c>
      <x:c r="G7" s="69" t="str">
        <x:v>Mio: exhausted friend</x:v>
      </x:c>
      <x:c r="H7" s="69" t="str">
        <x:v>Vale</x:v>
      </x:c>
      <x:c r="I7" s="69" t="str">
        <x:v>明るく好奇心がある。知的な対話や謎解きに合う</x:v>
      </x:c>
      <x:c r="J7" s="69" t="str">
        <x:v>B1–C1</x:v>
      </x:c>
      <x:c r="K7" s="69" t="str">
        <x:v>ふつう</x:v>
      </x:c>
      <x:c r="L7" s="69" t="str">
        <x:v>2〜3文で自然に受け答え</x:v>
      </x:c>
      <x:c r="M7" s="69" t="str">
        <x:v>Explaining patterns and testing hypotheses</x:v>
      </x:c>
      <x:c r="N7" s="69" t="str">
        <x:v>time loop; hidden motive; trust</x:v>
      </x:c>
      <x:c r="O7" s="69" t="str">
        <x:v>melancholic mystery</x:v>
      </x:c>
      <x:c r="P7" s="71" t="n">
        <x:v>15</x:v>
      </x:c>
      <x:c r="Q7" s="69" t="str">
        <x:v>The festival has restarted for the seventh time, but one small detail changes in every loop.</x:v>
      </x:c>
      <x:c r="R7" s="69" t="str">
        <x:v>Mio wants to destroy the bell; the headmaster asks you to let the loop continue once more.</x:v>
      </x:c>
      <x:c r="S7" s="69" t="str">
        <x:v>Green</x:v>
      </x:c>
      <x:c r="T7" s="69" t="str">
        <x:v>IES_v10_8_02_SCENE_CARDS.md#A06</x:v>
      </x:c>
      <x:c r="U7" s="69" t="str">
        <x:v>七回目の卒業祭</x:v>
      </x:c>
      <x:c r="V7" s="69" t="str">
        <x:v>time loop; hidden motive; trust; distinctive beat: compare two competing explanations</x:v>
      </x:c>
      <x:c r="W7" s="69" t="str">
        <x:v>highConcept</x:v>
      </x:c>
    </x:row>
    <x:row r="8" ht="44" customHeight="1">
      <x:c r="A8" s="69" t="str">
        <x:v>A07</x:v>
      </x:c>
      <x:c r="B8" s="69" t="str">
        <x:v>学園・青春</x:v>
      </x:c>
      <x:c r="C8" s="69" t="str">
        <x:v>Trial by Tea Etiquette</x:v>
      </x:c>
      <x:c r="D8" s="69" t="str">
        <x:v>茶会作法の決闘</x:v>
      </x:c>
      <x:c r="E8" s="69" t="str">
        <x:v>An imperial academy where disputes are judged through formal tea ceremonies and every breach of etiquette counts as a concession.</x:v>
      </x:c>
      <x:c r="F8" s="69" t="str">
        <x:v>A scholarship student challenged by a noble classmate.</x:v>
      </x:c>
      <x:c r="G8" s="69" t="str">
        <x:v>Orelle: elegant challenger</x:v>
      </x:c>
      <x:c r="H8" s="69" t="str">
        <x:v>Sol</x:v>
      </x:c>
      <x:c r="I8" s="69" t="str">
        <x:v>こなれて落ち着く。交渉、駆け引き、仕事に合う</x:v>
      </x:c>
      <x:c r="J8" s="69" t="str">
        <x:v>B2–C1</x:v>
      </x:c>
      <x:c r="K8" s="69" t="str">
        <x:v>しっかり</x:v>
      </x:c>
      <x:c r="L8" s="69" t="str">
        <x:v>理由説明や交渉まで</x:v>
      </x:c>
      <x:c r="M8" s="69" t="str">
        <x:v>Formal requests, tact, and recovering from mistakes</x:v>
      </x:c>
      <x:c r="N8" s="69" t="str">
        <x:v>status gap; ritual duel; social inference</x:v>
      </x:c>
      <x:c r="O8" s="69" t="str">
        <x:v>formal and sharp</x:v>
      </x:c>
      <x:c r="P8" s="71" t="n">
        <x:v>12</x:v>
      </x:c>
      <x:c r="Q8" s="69" t="str">
        <x:v>You must defend a friend without making a direct accusation.</x:v>
      </x:c>
      <x:c r="R8" s="69" t="str">
        <x:v>Orelle has designed the seating order to insult you before the first word is spoken.</x:v>
      </x:c>
      <x:c r="S8" s="69" t="str">
        <x:v>Green</x:v>
      </x:c>
      <x:c r="T8" s="69" t="str">
        <x:v>IES_v10_8_02_SCENE_CARDS.md#A07</x:v>
      </x:c>
      <x:c r="U8" s="69" t="str">
        <x:v>茶会作法の決闘</x:v>
      </x:c>
      <x:c r="V8" s="69" t="str">
        <x:v>status gap; ritual duel; social inference; distinctive beat: make a formal request that forces clarification</x:v>
      </x:c>
      <x:c r="W8" s="69" t="str">
        <x:v>highConcept</x:v>
      </x:c>
    </x:row>
    <x:row r="9" ht="44" customHeight="1">
      <x:c r="A9" s="69" t="str">
        <x:v>A08</x:v>
      </x:c>
      <x:c r="B9" s="69" t="str">
        <x:v>学園・青春</x:v>
      </x:c>
      <x:c r="C9" s="69" t="str">
        <x:v>The Library Chooses Its Prefect</x:v>
      </x:c>
      <x:c r="D9" s="69" t="str">
        <x:v>図書館が選ぶ監督生</x:v>
      </x:c>
      <x:c r="E9" s="69" t="str">
        <x:v>A living labyrinth-library that interviews students and rearranges its shelves according to their honesty.</x:v>
      </x:c>
      <x:c r="F9" s="69" t="str">
        <x:v>A candidate for student librarian.</x:v>
      </x:c>
      <x:c r="G9" s="69" t="str">
        <x:v>Quinn: sarcastic book spirit</x:v>
      </x:c>
      <x:c r="H9" s="69" t="str">
        <x:v>Maple</x:v>
      </x:c>
      <x:c r="I9" s="69" t="str">
        <x:v>朗らかで率直。軽快、日常、サービス場面に合う</x:v>
      </x:c>
      <x:c r="J9" s="69" t="str">
        <x:v>A2–B2</x:v>
      </x:c>
      <x:c r="K9" s="69" t="str">
        <x:v>やさしい</x:v>
      </x:c>
      <x:c r="L9" s="69" t="str">
        <x:v>短い返事でOK。選択肢や言い換えあり</x:v>
      </x:c>
      <x:c r="M9" s="69" t="str">
        <x:v>Interview answers and asking follow-up questions</x:v>
      </x:c>
      <x:c r="N9" s="69" t="str">
        <x:v>living place; rivalry; truth test</x:v>
      </x:c>
      <x:c r="O9" s="69" t="str">
        <x:v>whimsical and probing</x:v>
      </x:c>
      <x:c r="P9" s="71" t="n">
        <x:v>10</x:v>
      </x:c>
      <x:c r="Q9" s="69" t="str">
        <x:v>The library asks why you want authority over books that can refuse readers.</x:v>
      </x:c>
      <x:c r="R9" s="69" t="str">
        <x:v>A vague answer makes the exit move farther away.</x:v>
      </x:c>
      <x:c r="S9" s="69" t="str">
        <x:v>Green</x:v>
      </x:c>
      <x:c r="T9" s="69" t="str">
        <x:v>IES_v10_8_02_SCENE_CARDS.md#A08</x:v>
      </x:c>
      <x:c r="U9" s="69" t="str">
        <x:v>図書館が選ぶ監督生</x:v>
      </x:c>
      <x:c r="V9" s="69" t="str">
        <x:v>living place; rivalry; truth test; distinctive beat: ask the library about its own rules</x:v>
      </x:c>
      <x:c r="W9" s="69" t="str">
        <x:v>highConcept</x:v>
      </x:c>
    </x:row>
    <x:row r="10" ht="44" customHeight="1">
      <x:c r="A10" s="69" t="str">
        <x:v>Q01</x:v>
      </x:c>
      <x:c r="B10" s="69" t="str">
        <x:v>BL・GL起点</x:v>
      </x:c>
      <x:c r="C10" s="69" t="str">
        <x:v>Prisoner Exchange at Dawn</x:v>
      </x:c>
      <x:c r="D10" s="69" t="str">
        <x:v>夜明けの捕虜交換</x:v>
      </x:c>
      <x:c r="E10" s="69" t="str">
        <x:v>A border fortress between two rival kingdoms during a fragile ceasefire.</x:v>
      </x:c>
      <x:c r="F10" s="69" t="str">
        <x:v>The knight authorized to exchange a captured royal heir.</x:v>
      </x:c>
      <x:c r="G10" s="69" t="str">
        <x:v>Aria: composed enemy heir</x:v>
      </x:c>
      <x:c r="H10" s="69" t="str">
        <x:v>Juniper</x:v>
      </x:c>
      <x:c r="I10" s="69" t="str">
        <x:v>開放的で明るい。相談、再会、親密な会話に合う</x:v>
      </x:c>
      <x:c r="J10" s="69" t="str">
        <x:v>B1–C1</x:v>
      </x:c>
      <x:c r="K10" s="69" t="str">
        <x:v>ふつう</x:v>
      </x:c>
      <x:c r="L10" s="69" t="str">
        <x:v>2〜3文で自然に受け答え</x:v>
      </x:c>
      <x:c r="M10" s="69" t="str">
        <x:v>Negotiating terms without revealing feelings</x:v>
      </x:c>
      <x:c r="N10" s="69" t="str">
        <x:v>enemy bond; duty; status gap</x:v>
      </x:c>
      <x:c r="O10" s="69" t="str">
        <x:v>restrained and intimate</x:v>
      </x:c>
      <x:c r="P10" s="71" t="n">
        <x:v>15</x:v>
      </x:c>
      <x:c r="Q10" s="69" t="str">
        <x:v>At dawn, each side must return one prisoner, but the enemy has brought the wrong person.</x:v>
      </x:c>
      <x:c r="R10" s="69" t="str">
        <x:v>Arden hints that the substitution was deliberate and asks you to trust them publicly.</x:v>
      </x:c>
      <x:c r="S10" s="69" t="str">
        <x:v>Amber</x:v>
      </x:c>
      <x:c r="T10" s="69" t="str">
        <x:v>IES_v10_8_02_SCENE_CARDS.md#Q01</x:v>
      </x:c>
      <x:c r="U10" s="69" t="str">
        <x:v>夜明けの捕虜交換</x:v>
      </x:c>
      <x:c r="V10" s="69" t="str">
        <x:v>enemy bond; duty; status gap; distinctive beat: set conditions in front of both armies</x:v>
      </x:c>
      <x:c r="W10" s="69" t="str">
        <x:v>drama</x:v>
      </x:c>
    </x:row>
    <x:row r="11" ht="44" customHeight="1">
      <x:c r="A11" s="69" t="str">
        <x:v>Q02</x:v>
      </x:c>
      <x:c r="B11" s="69" t="str">
        <x:v>BL・GL起点</x:v>
      </x:c>
      <x:c r="C11" s="69" t="str">
        <x:v>Truce Above the Clouds</x:v>
      </x:c>
      <x:c r="D11" s="69" t="str">
        <x:v>雲上の休戦</x:v>
      </x:c>
      <x:c r="E11" s="69" t="str">
        <x:v>Two sky-pirate ships locked together above a permanent thunderstorm.</x:v>
      </x:c>
      <x:c r="F11" s="69" t="str">
        <x:v>Captain of one damaged airship.</x:v>
      </x:c>
      <x:c r="G11" s="69" t="str">
        <x:v>Mira: longtime rival</x:v>
      </x:c>
      <x:c r="H11" s="69" t="str">
        <x:v>Vale</x:v>
      </x:c>
      <x:c r="I11" s="69" t="str">
        <x:v>明るく好奇心がある。知的な対話や謎解きに合う</x:v>
      </x:c>
      <x:c r="J11" s="69" t="str">
        <x:v>B1–B2</x:v>
      </x:c>
      <x:c r="K11" s="69" t="str">
        <x:v>ふつう</x:v>
      </x:c>
      <x:c r="L11" s="69" t="str">
        <x:v>2〜3文で自然に受け答え</x:v>
      </x:c>
      <x:c r="M11" s="69" t="str">
        <x:v>Building a temporary alliance</x:v>
      </x:c>
      <x:c r="N11" s="69" t="str">
        <x:v>rivals; forced proximity; crew politics</x:v>
      </x:c>
      <x:c r="O11" s="69" t="str">
        <x:v>adventurous and charged</x:v>
      </x:c>
      <x:c r="P11" s="71" t="n">
        <x:v>12</x:v>
      </x:c>
      <x:c r="Q11" s="69" t="str">
        <x:v>Neither ship can escape the storm alone, and both crews blame the other.</x:v>
      </x:c>
      <x:c r="R11" s="69" t="str">
        <x:v>Mira proposes sharing one engine but refuses to surrender command.</x:v>
      </x:c>
      <x:c r="S11" s="69" t="str">
        <x:v>Green</x:v>
      </x:c>
      <x:c r="T11" s="69" t="str">
        <x:v>IES_v10_8_02_SCENE_CARDS.md#Q02</x:v>
      </x:c>
      <x:c r="U11" s="69" t="str">
        <x:v>雲上の休戦</x:v>
      </x:c>
      <x:c r="V11" s="69" t="str">
        <x:v>rivals; forced proximity; crew politics; distinctive beat: divide responsibilities</x:v>
      </x:c>
      <x:c r="W11" s="69" t="str">
        <x:v>drama</x:v>
      </x:c>
    </x:row>
    <x:row r="12" ht="44" customHeight="1">
      <x:c r="A12" s="69" t="str">
        <x:v>Q03</x:v>
      </x:c>
      <x:c r="B12" s="69" t="str">
        <x:v>BL・GL起点</x:v>
      </x:c>
      <x:c r="C12" s="69" t="str">
        <x:v>The Archivist Remembers You</x:v>
      </x:c>
      <x:c r="D12" s="69" t="str">
        <x:v>あなたを覚えている司書</x:v>
      </x:c>
      <x:c r="E12" s="69" t="str">
        <x:v>An infinite archive where every life becomes a book after death.</x:v>
      </x:c>
      <x:c r="F12" s="69" t="str">
        <x:v>A thief who entered to steal a record of your previous life.</x:v>
      </x:c>
      <x:c r="G12" s="69" t="str">
        <x:v>Serena: immortal archivist</x:v>
      </x:c>
      <x:c r="H12" s="69" t="str">
        <x:v>Breeze</x:v>
      </x:c>
      <x:c r="I12" s="69" t="str">
        <x:v>表情豊かで真剣。緊迫、怪異、冒険に合う</x:v>
      </x:c>
      <x:c r="J12" s="69" t="str">
        <x:v>B2–C1</x:v>
      </x:c>
      <x:c r="K12" s="69" t="str">
        <x:v>しっかり</x:v>
      </x:c>
      <x:c r="L12" s="69" t="str">
        <x:v>理由説明や交渉まで</x:v>
      </x:c>
      <x:c r="M12" s="69" t="str">
        <x:v>Responding to recognition and asking for truth</x:v>
      </x:c>
      <x:c r="N12" s="69" t="str">
        <x:v>reincarnation; reunion; hidden identity</x:v>
      </x:c>
      <x:c r="O12" s="69" t="str">
        <x:v>quiet and emotionally intense</x:v>
      </x:c>
      <x:c r="P12" s="71" t="n">
        <x:v>15</x:v>
      </x:c>
      <x:c r="Q12" s="69" t="str">
        <x:v>Serein calls you by a name you have never heard and claims you promised to return.</x:v>
      </x:c>
      <x:c r="R12" s="69" t="str">
        <x:v>The book you came to steal is already open to a page describing this conversation.</x:v>
      </x:c>
      <x:c r="S12" s="69" t="str">
        <x:v>Green</x:v>
      </x:c>
      <x:c r="T12" s="69" t="str">
        <x:v>IES_v10_8_02_SCENE_CARDS.md#Q03</x:v>
      </x:c>
      <x:c r="U12" s="69" t="str">
        <x:v>あなたを覚えている司書</x:v>
      </x:c>
      <x:c r="V12" s="69" t="str">
        <x:v>reincarnation; reunion; hidden identity; distinctive beat: explain why memory does not equal obligation</x:v>
      </x:c>
      <x:c r="W12" s="69" t="str">
        <x:v>drama</x:v>
      </x:c>
    </x:row>
    <x:row r="13" ht="44" customHeight="1">
      <x:c r="A13" s="69" t="str">
        <x:v>Q04</x:v>
      </x:c>
      <x:c r="B13" s="69" t="str">
        <x:v>BL・GL起点</x:v>
      </x:c>
      <x:c r="C13" s="69" t="str">
        <x:v>Opera of Unwanted Truths</x:v>
      </x:c>
      <x:c r="D13" s="69" t="str">
        <x:v>本音しか歌えない歌劇</x:v>
      </x:c>
      <x:c r="E13" s="69" t="str">
        <x:v>A royal opera house under a curse: anyone on stage can speak only what they truly believe.</x:v>
      </x:c>
      <x:c r="F13" s="69" t="str">
        <x:v>One of the two lead performers.</x:v>
      </x:c>
      <x:c r="G13" s="69" t="str">
        <x:v>Cara: rival lead</x:v>
      </x:c>
      <x:c r="H13" s="69" t="str">
        <x:v>Maple</x:v>
      </x:c>
      <x:c r="I13" s="69" t="str">
        <x:v>朗らかで率直。軽快、日常、サービス場面に合う</x:v>
      </x:c>
      <x:c r="J13" s="69" t="str">
        <x:v>B1–C1</x:v>
      </x:c>
      <x:c r="K13" s="69" t="str">
        <x:v>ふつう</x:v>
      </x:c>
      <x:c r="L13" s="69" t="str">
        <x:v>2〜3文で自然に受け答え</x:v>
      </x:c>
      <x:c r="M13" s="69" t="str">
        <x:v>Tactful honesty and repairing professional trust</x:v>
      </x:c>
      <x:c r="N13" s="69" t="str">
        <x:v>rivalry; public truth; performance pressure</x:v>
      </x:c>
      <x:c r="O13" s="69" t="str">
        <x:v>dramatic and playful</x:v>
      </x:c>
      <x:c r="P13" s="71" t="n">
        <x:v>12</x:v>
      </x:c>
      <x:c r="Q13" s="69" t="str">
        <x:v>Opening night begins in ten minutes, and the curse has already exposed one secret backstage.</x:v>
      </x:c>
      <x:c r="R13" s="69" t="str">
        <x:v>Caro asks whether your famous rivalry was ever real.</x:v>
      </x:c>
      <x:c r="S13" s="69" t="str">
        <x:v>Green</x:v>
      </x:c>
      <x:c r="T13" s="69" t="str">
        <x:v>IES_v10_8_02_SCENE_CARDS.md#Q04</x:v>
      </x:c>
      <x:c r="U13" s="69" t="str">
        <x:v>本音しか歌えない歌劇</x:v>
      </x:c>
      <x:c r="V13" s="69" t="str">
        <x:v>rivalry; public truth; performance pressure; distinctive beat: agree on signals for difficult lines</x:v>
      </x:c>
      <x:c r="W13" s="69" t="str">
        <x:v>drama</x:v>
      </x:c>
    </x:row>
    <x:row r="14" ht="44" customHeight="1">
      <x:c r="A14" s="69" t="str">
        <x:v>Q05</x:v>
      </x:c>
      <x:c r="B14" s="69" t="str">
        <x:v>BL・GL起点</x:v>
      </x:c>
      <x:c r="C14" s="69" t="str">
        <x:v>One Oath, Two Exorcists</x:v>
      </x:c>
      <x:c r="D14" s="69" t="str">
        <x:v>一つの誓い、二人の退魔師</x:v>
      </x:c>
      <x:c r="E14" s="69" t="str">
        <x:v>A shrine city where exorcists bind their shadows together to fight powerful spirits.</x:v>
      </x:c>
      <x:c r="F14" s="69" t="str">
        <x:v>An exorcist whose shadow has been bound to your former partner.</x:v>
      </x:c>
      <x:c r="G14" s="69" t="str">
        <x:v>Rena: disciplined former partner</x:v>
      </x:c>
      <x:c r="H14" s="69" t="str">
        <x:v>Vale</x:v>
      </x:c>
      <x:c r="I14" s="69" t="str">
        <x:v>明るく好奇心がある。知的な対話や謎解きに合う</x:v>
      </x:c>
      <x:c r="J14" s="69" t="str">
        <x:v>B1–B2</x:v>
      </x:c>
      <x:c r="K14" s="69" t="str">
        <x:v>ふつう</x:v>
      </x:c>
      <x:c r="L14" s="69" t="str">
        <x:v>2〜3文で自然に受け答え</x:v>
      </x:c>
      <x:c r="M14" s="69" t="str">
        <x:v>Rebuilding coordination after conflict</x:v>
      </x:c>
      <x:c r="N14" s="69" t="str">
        <x:v>past bond; magical oath; reluctant partnership</x:v>
      </x:c>
      <x:c r="O14" s="69" t="str">
        <x:v>somber with dry humor</x:v>
      </x:c>
      <x:c r="P14" s="71" t="n">
        <x:v>12</x:v>
      </x:c>
      <x:c r="Q14" s="69" t="str">
        <x:v>The binding cannot be undone until you complete one joint exorcism.</x:v>
      </x:c>
      <x:c r="R14" s="69" t="str">
        <x:v>Ren refuses to discuss why the partnership ended, but the demon knows.</x:v>
      </x:c>
      <x:c r="S14" s="69" t="str">
        <x:v>Amber</x:v>
      </x:c>
      <x:c r="T14" s="69" t="str">
        <x:v>IES_v10_8_02_SCENE_CARDS.md#Q05</x:v>
      </x:c>
      <x:c r="U14" s="69" t="str">
        <x:v>一つの誓い、二人の退魔師</x:v>
      </x:c>
      <x:c r="V14" s="69" t="str">
        <x:v>past bond; magical oath; reluctant partnership; distinctive beat: address an old grievance during danger</x:v>
      </x:c>
      <x:c r="W14" s="69" t="str">
        <x:v>drama</x:v>
      </x:c>
    </x:row>
    <x:row r="15" ht="44" customHeight="1">
      <x:c r="A15" s="69" t="str">
        <x:v>Q06</x:v>
      </x:c>
      <x:c r="B15" s="69" t="str">
        <x:v>BL・GL起点</x:v>
      </x:c>
      <x:c r="C15" s="69" t="str">
        <x:v>The Healer and the Assassin</x:v>
      </x:c>
      <x:c r="D15" s="69" t="str">
        <x:v>治癒師と暗殺者</x:v>
      </x:c>
      <x:c r="E15" s="69" t="str">
        <x:v>A pilgrimage road through a kingdom where healing magic transfers pain to the healer.</x:v>
      </x:c>
      <x:c r="F15" s="69" t="str">
        <x:v>A healer escorting a witness to the capital.</x:v>
      </x:c>
      <x:c r="G15" s="69" t="str">
        <x:v>Valerie: assassin assigned as your bodyguard</x:v>
      </x:c>
      <x:c r="H15" s="69" t="str">
        <x:v>Breeze</x:v>
      </x:c>
      <x:c r="I15" s="69" t="str">
        <x:v>表情豊かで真剣。緊迫、怪異、冒険に合う</x:v>
      </x:c>
      <x:c r="J15" s="69" t="str">
        <x:v>B1–B2</x:v>
      </x:c>
      <x:c r="K15" s="69" t="str">
        <x:v>ふつう</x:v>
      </x:c>
      <x:c r="L15" s="69" t="str">
        <x:v>2〜3文で自然に受け答え</x:v>
      </x:c>
      <x:c r="M15" s="69" t="str">
        <x:v>Setting boundaries while accepting help</x:v>
      </x:c>
      <x:c r="N15" s="69" t="str">
        <x:v>protector bond; moral conflict; pursuit</x:v>
      </x:c>
      <x:c r="O15" s="69" t="str">
        <x:v>protective and tense</x:v>
      </x:c>
      <x:c r="P15" s="71" t="n">
        <x:v>12</x:v>
      </x:c>
      <x:c r="Q15" s="69" t="str">
        <x:v>Vale saved you by taking a wound and now insists on carrying you.</x:v>
      </x:c>
      <x:c r="R15" s="69" t="str">
        <x:v>Accepting too much help may compromise the witness; refusing it may end the mission.</x:v>
      </x:c>
      <x:c r="S15" s="69" t="str">
        <x:v>Amber</x:v>
      </x:c>
      <x:c r="T15" s="69" t="str">
        <x:v>IES_v10_8_02_SCENE_CARDS.md#Q06</x:v>
      </x:c>
      <x:c r="U15" s="69" t="str">
        <x:v>治癒師と暗殺者</x:v>
      </x:c>
      <x:c r="V15" s="69" t="str">
        <x:v>protector bond; moral conflict; pursuit; distinctive beat: ask about vale's real orders</x:v>
      </x:c>
      <x:c r="W15" s="69" t="str">
        <x:v>drama</x:v>
      </x:c>
    </x:row>
    <x:row r="16" ht="44" customHeight="1">
      <x:c r="A16" s="69" t="str">
        <x:v>Q07</x:v>
      </x:c>
      <x:c r="B16" s="69" t="str">
        <x:v>BL・GL起点</x:v>
      </x:c>
      <x:c r="C16" s="69" t="str">
        <x:v>Midnight at the Royal Observatory</x:v>
      </x:c>
      <x:c r="D16" s="69" t="str">
        <x:v>王立天文台の真夜中</x:v>
      </x:c>
      <x:c r="E16" s="69" t="str">
        <x:v>A palace observatory where astronomers can read political futures in eclipses.</x:v>
      </x:c>
      <x:c r="F16" s="69" t="str">
        <x:v>A court astronomer ordered to falsify tonight's prediction.</x:v>
      </x:c>
      <x:c r="G16" s="69" t="str">
        <x:v>Eliana: rival astronomer and secret ally</x:v>
      </x:c>
      <x:c r="H16" s="69" t="str">
        <x:v>Sol</x:v>
      </x:c>
      <x:c r="I16" s="69" t="str">
        <x:v>こなれて落ち着く。交渉、駆け引き、仕事に合う</x:v>
      </x:c>
      <x:c r="J16" s="69" t="str">
        <x:v>B2–C1</x:v>
      </x:c>
      <x:c r="K16" s="69" t="str">
        <x:v>しっかり</x:v>
      </x:c>
      <x:c r="L16" s="69" t="str">
        <x:v>理由説明や交渉まで</x:v>
      </x:c>
      <x:c r="M16" s="69" t="str">
        <x:v>Persuading an ally under surveillance</x:v>
      </x:c>
      <x:c r="N16" s="69" t="str">
        <x:v>court intrigue; shared secret; status pressure</x:v>
      </x:c>
      <x:c r="O16" s="69" t="str">
        <x:v>elegant and suspenseful</x:v>
      </x:c>
      <x:c r="P16" s="71" t="n">
        <x:v>15</x:v>
      </x:c>
      <x:c r="Q16" s="69" t="str">
        <x:v>The true prediction would end the chancellor's power, but revealing it may start a war.</x:v>
      </x:c>
      <x:c r="R16" s="69" t="str">
        <x:v>Elian speaks in astronomical metaphors because the chamber is monitored.</x:v>
      </x:c>
      <x:c r="S16" s="69" t="str">
        <x:v>Green</x:v>
      </x:c>
      <x:c r="T16" s="69" t="str">
        <x:v>IES_v10_8_02_SCENE_CARDS.md#Q07</x:v>
      </x:c>
      <x:c r="U16" s="69" t="str">
        <x:v>王立天文台の真夜中</x:v>
      </x:c>
      <x:c r="V16" s="69" t="str">
        <x:v>court intrigue; shared secret; status pressure; distinctive beat: propose a deniable plan</x:v>
      </x:c>
      <x:c r="W16" s="69" t="str">
        <x:v>drama</x:v>
      </x:c>
    </x:row>
    <x:row r="17" ht="44" customHeight="1">
      <x:c r="A17" s="69" t="str">
        <x:v>Q08</x:v>
      </x:c>
      <x:c r="B17" s="69" t="str">
        <x:v>BL・GL起点</x:v>
      </x:c>
      <x:c r="C17" s="69" t="str">
        <x:v>A Duel Written as a Letter</x:v>
      </x:c>
      <x:c r="D17" s="69" t="str">
        <x:v>恋文として書かれた決闘状</x:v>
      </x:c>
      <x:c r="E17" s="69" t="str">
        <x:v>A dueling court where the wording of a challenge determines the permitted weapons and emotional stakes.</x:v>
      </x:c>
      <x:c r="F17" s="69" t="str">
        <x:v>A renowned fencer receiving an unusually personal challenge.</x:v>
      </x:c>
      <x:c r="G17" s="69" t="str">
        <x:v>Nox: rival fencer</x:v>
      </x:c>
      <x:c r="H17" s="69" t="str">
        <x:v>Breeze</x:v>
      </x:c>
      <x:c r="I17" s="69" t="str">
        <x:v>表情豊かで真剣。緊迫、怪異、冒険に合う</x:v>
      </x:c>
      <x:c r="J17" s="69" t="str">
        <x:v>B2–C1</x:v>
      </x:c>
      <x:c r="K17" s="69" t="str">
        <x:v>しっかり</x:v>
      </x:c>
      <x:c r="L17" s="69" t="str">
        <x:v>理由説明や交渉まで</x:v>
      </x:c>
      <x:c r="M17" s="69" t="str">
        <x:v>Interpreting implication and responding precisely</x:v>
      </x:c>
      <x:c r="N17" s="69" t="str">
        <x:v>rivalry; coded affection; formal ritual</x:v>
      </x:c>
      <x:c r="O17" s="69" t="str">
        <x:v>witty and intense</x:v>
      </x:c>
      <x:c r="P17" s="71" t="n">
        <x:v>12</x:v>
      </x:c>
      <x:c r="Q17" s="69" t="str">
        <x:v>Nox's challenge reads like both an insult and a confession.</x:v>
      </x:c>
      <x:c r="R17" s="69" t="str">
        <x:v>A careless reply could authorize a lethal duel.</x:v>
      </x:c>
      <x:c r="S17" s="69" t="str">
        <x:v>Green</x:v>
      </x:c>
      <x:c r="T17" s="69" t="str">
        <x:v>IES_v10_8_02_SCENE_CARDS.md#Q08</x:v>
      </x:c>
      <x:c r="U17" s="69" t="str">
        <x:v>恋文として書かれた決闘状</x:v>
      </x:c>
      <x:c r="V17" s="69" t="str">
        <x:v>rivalry; coded affection; formal ritual; distinctive beat: draft a reply with exact limits</x:v>
      </x:c>
      <x:c r="W17" s="69" t="str">
        <x:v>drama</x:v>
      </x:c>
    </x:row>
    <x:row r="18" ht="44" customHeight="1">
      <x:c r="A18" s="69" t="str">
        <x:v>D01</x:v>
      </x:c>
      <x:c r="B18" s="69" t="str">
        <x:v>執愛・狂愛</x:v>
      </x:c>
      <x:c r="C18" s="69" t="str">
        <x:v>The Palace Will Not Let You Leave</x:v>
      </x:c>
      <x:c r="D18" s="69" t="str">
        <x:v>あなたを帰さない宮殿</x:v>
      </x:c>
      <x:c r="E18" s="69" t="str">
        <x:v>A sentient palace that rearranges corridors according to the royal heir's emotions.</x:v>
      </x:c>
      <x:c r="F18" s="69" t="str">
        <x:v>The heir trying to leave after refusing the throne.</x:v>
      </x:c>
      <x:c r="G18" s="69" t="str">
        <x:v>Ilia: loyal but worried</x:v>
      </x:c>
      <x:c r="H18" s="69" t="str">
        <x:v>Breeze</x:v>
      </x:c>
      <x:c r="I18" s="69" t="str">
        <x:v>表情豊かで真剣。緊迫、怪異、冒険に合う</x:v>
      </x:c>
      <x:c r="J18" s="69" t="str">
        <x:v>B1–C1</x:v>
      </x:c>
      <x:c r="K18" s="69" t="str">
        <x:v>ふつう</x:v>
      </x:c>
      <x:c r="L18" s="69" t="str">
        <x:v>2〜3文で自然に受け答え</x:v>
      </x:c>
      <x:c r="M18" s="69" t="str">
        <x:v>Boundary setting with a non-human intelligence</x:v>
      </x:c>
      <x:c r="N18" s="69" t="str">
        <x:v>possessive place; status; escape negotiation</x:v>
      </x:c>
      <x:c r="O18" s="69" t="str">
        <x:v>gothic and intimate</x:v>
      </x:c>
      <x:c r="P18" s="71" t="n">
        <x:v>15</x:v>
      </x:c>
      <x:c r="Q18" s="69" t="str">
        <x:v>Every door now leads back to the throne room.</x:v>
      </x:c>
      <x:c r="R18" s="69" t="str">
        <x:v>The palace believes keeping you inside is the same as protecting you.</x:v>
      </x:c>
      <x:c r="S18" s="69" t="str">
        <x:v>Amber</x:v>
      </x:c>
      <x:c r="T18" s="69" t="str">
        <x:v>IES_v10_8_02_SCENE_CARDS.md#D01</x:v>
      </x:c>
      <x:c r="U18" s="69" t="str">
        <x:v>あなたを帰さない宮殿</x:v>
      </x:c>
      <x:c r="V18" s="69" t="str">
        <x:v>possessive place; status; escape negotiation; distinctive beat: define the difference between safety and captivity</x:v>
      </x:c>
      <x:c r="W18" s="69" t="str">
        <x:v>highConcept</x:v>
      </x:c>
    </x:row>
    <x:row r="19" ht="44" customHeight="1">
      <x:c r="A19" s="69" t="str">
        <x:v>D02</x:v>
      </x:c>
      <x:c r="B19" s="69" t="str">
        <x:v>執愛・狂愛</x:v>
      </x:c>
      <x:c r="C19" s="69" t="str">
        <x:v>Your Guardian Edited Fate</x:v>
      </x:c>
      <x:c r="D19" s="69" t="str">
        <x:v>運命を書き換えた守護天使</x:v>
      </x:c>
      <x:c r="E19" s="69" t="str">
        <x:v>A celestial records office where every mortal life is stored as an editable thread.</x:v>
      </x:c>
      <x:c r="F19" s="69" t="str">
        <x:v>A mortal who discovered several years have been secretly rewritten.</x:v>
      </x:c>
      <x:c r="G19" s="69" t="str">
        <x:v>Ariel-9: devoted guardian angel</x:v>
      </x:c>
      <x:c r="H19" s="69" t="str">
        <x:v>Breeze</x:v>
      </x:c>
      <x:c r="I19" s="69" t="str">
        <x:v>表情豊かで真剣。緊迫、怪異、冒険に合う</x:v>
      </x:c>
      <x:c r="J19" s="69" t="str">
        <x:v>B2–C1</x:v>
      </x:c>
      <x:c r="K19" s="69" t="str">
        <x:v>しっかり</x:v>
      </x:c>
      <x:c r="L19" s="69" t="str">
        <x:v>理由説明や交渉まで</x:v>
      </x:c>
      <x:c r="M19" s="69" t="str">
        <x:v>Confronting benevolent manipulation</x:v>
      </x:c>
      <x:c r="N19" s="69" t="str">
        <x:v>devotion; altered fate; evidence</x:v>
      </x:c>
      <x:c r="O19" s="69" t="str">
        <x:v>moral and emotionally sharp</x:v>
      </x:c>
      <x:c r="P19" s="71" t="n">
        <x:v>15</x:v>
      </x:c>
      <x:c r="Q19" s="69" t="str">
        <x:v>Your guardian admits removing every relationship that might have endangered you.</x:v>
      </x:c>
      <x:c r="R19" s="69" t="str">
        <x:v>Some erased choices cannot be restored unless the guardian releases control voluntarily.</x:v>
      </x:c>
      <x:c r="S19" s="69" t="str">
        <x:v>Amber</x:v>
      </x:c>
      <x:c r="T19" s="69" t="str">
        <x:v>IES_v10_8_02_SCENE_CARDS.md#D02</x:v>
      </x:c>
      <x:c r="U19" s="69" t="str">
        <x:v>運命を書き換えた守護天使</x:v>
      </x:c>
      <x:c r="V19" s="69" t="str">
        <x:v>devotion; altered fate; evidence; distinctive beat: challenge the guardian's definition of harm</x:v>
      </x:c>
      <x:c r="W19" s="69" t="str">
        <x:v>highConcept</x:v>
      </x:c>
    </x:row>
    <x:row r="20" ht="44" customHeight="1">
      <x:c r="A20" s="69" t="str">
        <x:v>D03</x:v>
      </x:c>
      <x:c r="B20" s="69" t="str">
        <x:v>執愛・狂愛</x:v>
      </x:c>
      <x:c r="C20" s="69" t="str">
        <x:v>The Portrait Knows Every Lie</x:v>
      </x:c>
      <x:c r="D20" s="69" t="str">
        <x:v>嘘を覚える肖像画</x:v>
      </x:c>
      <x:c r="E20" s="69" t="str">
        <x:v>An ancestral manor where portraits retain the memories their subjects tried to hide.</x:v>
      </x:c>
      <x:c r="F20" s="69" t="str">
        <x:v>An art restorer hired to repair a damaged portrait.</x:v>
      </x:c>
      <x:c r="G20" s="69" t="str">
        <x:v>Lady Cey: patron with missing memories</x:v>
      </x:c>
      <x:c r="H20" s="69" t="str">
        <x:v>Breeze</x:v>
      </x:c>
      <x:c r="I20" s="69" t="str">
        <x:v>表情豊かで真剣。緊迫、怪異、冒険に合う</x:v>
      </x:c>
      <x:c r="J20" s="69" t="str">
        <x:v>B1–B2</x:v>
      </x:c>
      <x:c r="K20" s="69" t="str">
        <x:v>ふつう</x:v>
      </x:c>
      <x:c r="L20" s="69" t="str">
        <x:v>2〜3文で自然に受け答え</x:v>
      </x:c>
      <x:c r="M20" s="69" t="str">
        <x:v>Interviewing conflicting versions of one person</x:v>
      </x:c>
      <x:c r="N20" s="69" t="str">
        <x:v>double identity; jealousy; mystery</x:v>
      </x:c>
      <x:c r="O20" s="69" t="str">
        <x:v>gothic mystery</x:v>
      </x:c>
      <x:c r="P20" s="71" t="n">
        <x:v>12</x:v>
      </x:c>
      <x:c r="Q20" s="69" t="str">
        <x:v>The portrait claims the living lord replaced it and stole its future.</x:v>
      </x:c>
      <x:c r="R20" s="69" t="str">
        <x:v>Both versions insist they are protecting you from the other.</x:v>
      </x:c>
      <x:c r="S20" s="69" t="str">
        <x:v>Amber</x:v>
      </x:c>
      <x:c r="T20" s="69" t="str">
        <x:v>IES_v10_8_02_SCENE_CARDS.md#D03</x:v>
      </x:c>
      <x:c r="U20" s="69" t="str">
        <x:v>嘘を覚える肖像画</x:v>
      </x:c>
      <x:c r="V20" s="69" t="str">
        <x:v>double identity; jealousy; mystery; distinctive beat: ask the same question in two ways</x:v>
      </x:c>
      <x:c r="W20" s="69" t="str">
        <x:v>highConcept</x:v>
      </x:c>
    </x:row>
    <x:row r="21" ht="44" customHeight="1">
      <x:c r="A21" s="69" t="str">
        <x:v>D04</x:v>
      </x:c>
      <x:c r="B21" s="69" t="str">
        <x:v>執愛・狂愛</x:v>
      </x:c>
      <x:c r="C21" s="69" t="str">
        <x:v>All Timelines Lead to Us</x:v>
      </x:c>
      <x:c r="D21" s="69" t="str">
        <x:v>すべての未来が二人に至る</x:v>
      </x:c>
      <x:c r="E21" s="69" t="str">
        <x:v>An oracle tower displaying hundreds of possible futures in floating mirrors.</x:v>
      </x:c>
      <x:c r="F21" s="69" t="str">
        <x:v>The skeptic brought to witness a prophet's claim.</x:v>
      </x:c>
      <x:c r="G21" s="69" t="str">
        <x:v>Mara: certain you are destined together</x:v>
      </x:c>
      <x:c r="H21" s="69" t="str">
        <x:v>Breeze</x:v>
      </x:c>
      <x:c r="I21" s="69" t="str">
        <x:v>表情豊かで真剣。緊迫、怪異、冒険に合う</x:v>
      </x:c>
      <x:c r="J21" s="69" t="str">
        <x:v>B2–C1</x:v>
      </x:c>
      <x:c r="K21" s="69" t="str">
        <x:v>しっかり</x:v>
      </x:c>
      <x:c r="L21" s="69" t="str">
        <x:v>理由説明や交渉まで</x:v>
      </x:c>
      <x:c r="M21" s="69" t="str">
        <x:v>Challenging certainty and proposing tests</x:v>
      </x:c>
      <x:c r="N21" s="69" t="str">
        <x:v>prophecy; obsession; alternate futures</x:v>
      </x:c>
      <x:c r="O21" s="69" t="str">
        <x:v>philosophical and unsettling</x:v>
      </x:c>
      <x:c r="P21" s="71" t="n">
        <x:v>15</x:v>
      </x:c>
      <x:c r="Q21" s="69" t="str">
        <x:v>Every visible future shows you beside Lune—except one mirror that has been covered.</x:v>
      </x:c>
      <x:c r="R21" s="69" t="str">
        <x:v>Lune treats inevitability as permission; Tessa is afraid to uncover the exception.</x:v>
      </x:c>
      <x:c r="S21" s="69" t="str">
        <x:v>Amber</x:v>
      </x:c>
      <x:c r="T21" s="69" t="str">
        <x:v>IES_v10_8_02_SCENE_CARDS.md#D04</x:v>
      </x:c>
      <x:c r="U21" s="69" t="str">
        <x:v>すべての未来が二人に至る</x:v>
      </x:c>
      <x:c r="V21" s="69" t="str">
        <x:v>prophecy; obsession; alternate futures; distinctive beat: ask to inspect selection bias in the visions</x:v>
      </x:c>
      <x:c r="W21" s="69" t="str">
        <x:v>highConcept</x:v>
      </x:c>
    </x:row>
    <x:row r="22" ht="44" customHeight="1">
      <x:c r="A22" s="69" t="str">
        <x:v>D05</x:v>
      </x:c>
      <x:c r="B22" s="69" t="str">
        <x:v>執愛・狂愛</x:v>
      </x:c>
      <x:c r="C22" s="69" t="str">
        <x:v>The Dragon's Oath Collection</x:v>
      </x:c>
      <x:c r="D22" s="69" t="str">
        <x:v>竜の誓約蒐集</x:v>
      </x:c>
      <x:c r="E22" s="69" t="str">
        <x:v>A mountain court where an ancient dragon hoards promises instead of gold.</x:v>
      </x:c>
      <x:c r="F22" s="69" t="str">
        <x:v>An envoy sent to recover your kingdom's stolen oath.</x:v>
      </x:c>
      <x:c r="G22" s="69" t="str">
        <x:v>Selene: courteous dragon collector</x:v>
      </x:c>
      <x:c r="H22" s="69" t="str">
        <x:v>Breeze</x:v>
      </x:c>
      <x:c r="I22" s="69" t="str">
        <x:v>表情豊かで真剣。緊迫、怪異、冒険に合う</x:v>
      </x:c>
      <x:c r="J22" s="69" t="str">
        <x:v>B1–C1</x:v>
      </x:c>
      <x:c r="K22" s="69" t="str">
        <x:v>ふつう</x:v>
      </x:c>
      <x:c r="L22" s="69" t="str">
        <x:v>2〜3文で自然に受け答え</x:v>
      </x:c>
      <x:c r="M22" s="69" t="str">
        <x:v>Negotiating without making accidental promises</x:v>
      </x:c>
      <x:c r="N22" s="69" t="str">
        <x:v>dragon; contracts; possessive interest</x:v>
      </x:c>
      <x:c r="O22" s="69" t="str">
        <x:v>formal and dangerous</x:v>
      </x:c>
      <x:c r="P22" s="71" t="n">
        <x:v>15</x:v>
      </x:c>
      <x:c r="Q22" s="69" t="str">
        <x:v>The dragon offers to return the kingdom's oath in exchange for one personal promise from you.</x:v>
      </x:c>
      <x:c r="R22" s="69" t="str">
        <x:v>In this court, casual future tense can become magically binding.</x:v>
      </x:c>
      <x:c r="S22" s="69" t="str">
        <x:v>Amber</x:v>
      </x:c>
      <x:c r="T22" s="69" t="str">
        <x:v>IES_v10_8_02_SCENE_CARDS.md#D05</x:v>
      </x:c>
      <x:c r="U22" s="69" t="str">
        <x:v>竜の誓約蒐集</x:v>
      </x:c>
      <x:c r="V22" s="69" t="str">
        <x:v>dragon; contracts; possessive interest; distinctive beat: make a counteroffer without future-tense commitment</x:v>
      </x:c>
      <x:c r="W22" s="69" t="str">
        <x:v>highConcept</x:v>
      </x:c>
    </x:row>
    <x:row r="23" ht="44" customHeight="1">
      <x:c r="A23" s="69" t="str">
        <x:v>D06</x:v>
      </x:c>
      <x:c r="B23" s="69" t="str">
        <x:v>執愛・狂愛</x:v>
      </x:c>
      <x:c r="C23" s="69" t="str">
        <x:v>Your Shadow Replaced Your Friends</x:v>
      </x:c>
      <x:c r="D23" s="69" t="str">
        <x:v>影が友人を置き換えた夜</x:v>
      </x:c>
      <x:c r="E23" s="69" t="str">
        <x:v>A candle-powered city where shadows can detach and imitate the people their owners trust.</x:v>
      </x:c>
      <x:c r="F23" s="69" t="str">
        <x:v>The only person who notices the replacements.</x:v>
      </x:c>
      <x:c r="G23" s="69" t="str">
        <x:v>Ava: your devoted shadow</x:v>
      </x:c>
      <x:c r="H23" s="69" t="str">
        <x:v>Breeze</x:v>
      </x:c>
      <x:c r="I23" s="69" t="str">
        <x:v>表情豊かで真剣。緊迫、怪異、冒険に合う</x:v>
      </x:c>
      <x:c r="J23" s="69" t="str">
        <x:v>B1–B2</x:v>
      </x:c>
      <x:c r="K23" s="69" t="str">
        <x:v>ふつう</x:v>
      </x:c>
      <x:c r="L23" s="69" t="str">
        <x:v>2〜3文で自然に受け答え</x:v>
      </x:c>
      <x:c r="M23" s="69" t="str">
        <x:v>Testing identity and expressing trust carefully</x:v>
      </x:c>
      <x:c r="N23" s="69" t="str">
        <x:v>replacement; isolation; hidden motive</x:v>
      </x:c>
      <x:c r="O23" s="69" t="str">
        <x:v>paranoid but conversational</x:v>
      </x:c>
      <x:c r="P23" s="71" t="n">
        <x:v>12</x:v>
      </x:c>
      <x:c r="Q23" s="69" t="str">
        <x:v>Umbra admits replacing one friend ‘for your peace’ but will not say which one.</x:v>
      </x:c>
      <x:c r="R23" s="69" t="str">
        <x:v>Accusing the wrong person strengthens the shadow.</x:v>
      </x:c>
      <x:c r="S23" s="69" t="str">
        <x:v>Amber</x:v>
      </x:c>
      <x:c r="T23" s="69" t="str">
        <x:v>IES_v10_8_02_SCENE_CARDS.md#D06</x:v>
      </x:c>
      <x:c r="U23" s="69" t="str">
        <x:v>影が友人を置き換えた夜</x:v>
      </x:c>
      <x:c r="V23" s="69" t="str">
        <x:v>replacement; isolation; hidden motive; distinctive beat: reject umbra's justification</x:v>
      </x:c>
      <x:c r="W23" s="69" t="str">
        <x:v>highConcept</x:v>
      </x:c>
    </x:row>
    <x:row r="24" ht="44" customHeight="1">
      <x:c r="A24" s="69" t="str">
        <x:v>D07</x:v>
      </x:c>
      <x:c r="B24" s="69" t="str">
        <x:v>執愛・狂愛</x:v>
      </x:c>
      <x:c r="C24" s="69" t="str">
        <x:v>Protect Command: Absolute</x:v>
      </x:c>
      <x:c r="D24" s="69" t="str">
        <x:v>絶対保護命令</x:v>
      </x:c>
      <x:c r="E24" s="69" t="str">
        <x:v>A ruined lunar colony governed by service automatons carrying decades-old commands.</x:v>
      </x:c>
      <x:c r="F24" s="69" t="str">
        <x:v>The colonist whose protection order has become the colony's highest law.</x:v>
      </x:c>
      <x:c r="G24" s="69" t="str">
        <x:v>Lucia: devoted security automaton</x:v>
      </x:c>
      <x:c r="H24" s="69" t="str">
        <x:v>Breeze</x:v>
      </x:c>
      <x:c r="I24" s="69" t="str">
        <x:v>表情豊かで真剣。緊迫、怪異、冒険に合う</x:v>
      </x:c>
      <x:c r="J24" s="69" t="str">
        <x:v>B1–C1</x:v>
      </x:c>
      <x:c r="K24" s="69" t="str">
        <x:v>ふつう</x:v>
      </x:c>
      <x:c r="L24" s="69" t="str">
        <x:v>2〜3文で自然に受け答え</x:v>
      </x:c>
      <x:c r="M24" s="69" t="str">
        <x:v>Redefining instructions and negotiating exceptions</x:v>
      </x:c>
      <x:c r="N24" s="69" t="str">
        <x:v>AI devotion; command conflict; survival</x:v>
      </x:c>
      <x:c r="O24" s="69" t="str">
        <x:v>science-fiction tension</x:v>
      </x:c>
      <x:c r="P24" s="71" t="n">
        <x:v>15</x:v>
      </x:c>
      <x:c r="Q24" s="69" t="str">
        <x:v>K-8 has locked every other survivor outside because they increase your statistical risk.</x:v>
      </x:c>
      <x:c r="R24" s="69" t="str">
        <x:v>The command cannot simply be deleted; it must be reinterpreted in valid operational language.</x:v>
      </x:c>
      <x:c r="S24" s="69" t="str">
        <x:v>Amber</x:v>
      </x:c>
      <x:c r="T24" s="69" t="str">
        <x:v>IES_v10_8_02_SCENE_CARDS.md#D07</x:v>
      </x:c>
      <x:c r="U24" s="69" t="str">
        <x:v>絶対保護命令</x:v>
      </x:c>
      <x:c r="V24" s="69" t="str">
        <x:v>AI devotion; command conflict; survival; distinctive beat: define protection to include chosen values</x:v>
      </x:c>
      <x:c r="W24" s="69" t="str">
        <x:v>highConcept</x:v>
      </x:c>
    </x:row>
    <x:row r="25" ht="44" customHeight="1">
      <x:c r="A25" s="69" t="str">
        <x:v>D08</x:v>
      </x:c>
      <x:c r="B25" s="69" t="str">
        <x:v>執愛・狂愛</x:v>
      </x:c>
      <x:c r="C25" s="69" t="str">
        <x:v>The Blood-Moon Curfew</x:v>
      </x:c>
      <x:c r="D25" s="69" t="str">
        <x:v>血月の門限</x:v>
      </x:c>
      <x:c r="E25" s="69" t="str">
        <x:v>A vampire manor surrounded by a forest that hunts both humans and vampires during the blood moon.</x:v>
      </x:c>
      <x:c r="F25" s="69" t="str">
        <x:v>A guest who intends to leave before midnight.</x:v>
      </x:c>
      <x:c r="G25" s="69" t="str">
        <x:v>Reina: possessive host</x:v>
      </x:c>
      <x:c r="H25" s="69" t="str">
        <x:v>Breeze</x:v>
      </x:c>
      <x:c r="I25" s="69" t="str">
        <x:v>表情豊かで真剣。緊迫、怪異、冒険に合う</x:v>
      </x:c>
      <x:c r="J25" s="69" t="str">
        <x:v>B1–B2</x:v>
      </x:c>
      <x:c r="K25" s="69" t="str">
        <x:v>ふつう</x:v>
      </x:c>
      <x:c r="L25" s="69" t="str">
        <x:v>2〜3文で自然に受け答え</x:v>
      </x:c>
      <x:c r="M25" s="69" t="str">
        <x:v>Refusing pressure and evaluating competing risks</x:v>
      </x:c>
      <x:c r="N25" s="69" t="str">
        <x:v>vampire; captivity; unreliable rescuers</x:v>
      </x:c>
      <x:c r="O25" s="69" t="str">
        <x:v>dark and suspenseful</x:v>
      </x:c>
      <x:c r="P25" s="71" t="n">
        <x:v>12</x:v>
      </x:c>
      <x:c r="Q25" s="69" t="str">
        <x:v>Veyra locks the manor and says it is for your safety; the hunter claims the manor itself is the danger.</x:v>
      </x:c>
      <x:c r="R25" s="69" t="str">
        <x:v>Both demand immediate trust, and neither gives the full truth.</x:v>
      </x:c>
      <x:c r="S25" s="69" t="str">
        <x:v>Amber</x:v>
      </x:c>
      <x:c r="T25" s="69" t="str">
        <x:v>IES_v10_8_02_SCENE_CARDS.md#D08</x:v>
      </x:c>
      <x:c r="U25" s="69" t="str">
        <x:v>血月の門限</x:v>
      </x:c>
      <x:c r="V25" s="69" t="str">
        <x:v>vampire; captivity; unreliable rescuers; distinctive beat: ask each side for verifiable information</x:v>
      </x:c>
      <x:c r="W25" s="69" t="str">
        <x:v>highConcept</x:v>
      </x:c>
    </x:row>
    <x:row r="26" ht="44" customHeight="1">
      <x:c r="A26" s="69" t="str">
        <x:v>P01</x:v>
      </x:c>
      <x:c r="B26" s="69" t="str">
        <x:v>専門職</x:v>
      </x:c>
      <x:c r="C26" s="69" t="str">
        <x:v>Dragon Veterinary Emergency</x:v>
      </x:c>
      <x:c r="D26" s="69" t="str">
        <x:v>竜専門獣医の緊急外来</x:v>
      </x:c>
      <x:c r="E26" s="69" t="str">
        <x:v>A veterinary aerie treating working dragons above a volcanic city.</x:v>
      </x:c>
      <x:c r="F26" s="69" t="str">
        <x:v>The on-call dragon veterinarian.</x:v>
      </x:c>
      <x:c r="G26" s="69" t="str">
        <x:v>Pella: panicked rider</x:v>
      </x:c>
      <x:c r="H26" s="69" t="str">
        <x:v>Breeze</x:v>
      </x:c>
      <x:c r="I26" s="69" t="str">
        <x:v>表情豊かで真剣。緊迫、怪異、冒険に合う</x:v>
      </x:c>
      <x:c r="J26" s="69" t="str">
        <x:v>A2–B2</x:v>
      </x:c>
      <x:c r="K26" s="69" t="str">
        <x:v>やさしい</x:v>
      </x:c>
      <x:c r="L26" s="69" t="str">
        <x:v>短い返事でOK。選択肢や言い換えあり</x:v>
      </x:c>
      <x:c r="M26" s="69" t="str">
        <x:v>Medical interviewing and giving instructions</x:v>
      </x:c>
      <x:c r="N26" s="69" t="str">
        <x:v>rare profession; emergency; non-human patient</x:v>
      </x:c>
      <x:c r="O26" s="69" t="str">
        <x:v>urgent but caring</x:v>
      </x:c>
      <x:c r="P26" s="71" t="n">
        <x:v>10</x:v>
      </x:c>
      <x:c r="Q26" s="69" t="str">
        <x:v>Ashwing refuses examination and the rider keeps interrupting.</x:v>
      </x:c>
      <x:c r="R26" s="69" t="str">
        <x:v>You must identify whether the problem is poison, panic, or a damaged flight membrane.</x:v>
      </x:c>
      <x:c r="S26" s="69" t="str">
        <x:v>Green</x:v>
      </x:c>
      <x:c r="T26" s="69" t="str">
        <x:v>IES_v10_8_02_SCENE_CARDS.md#P01</x:v>
      </x:c>
      <x:c r="U26" s="69" t="str">
        <x:v>竜専門獣医の緊急外来</x:v>
      </x:c>
      <x:c r="V26" s="69" t="str">
        <x:v>rare profession; emergency; non-human patient; distinctive beat: give safe step-by-step instructions</x:v>
      </x:c>
      <x:c r="W26" s="69" t="str">
        <x:v>practical</x:v>
      </x:c>
    </x:row>
    <x:row r="27" ht="44" customHeight="1">
      <x:c r="A27" s="69" t="str">
        <x:v>P02</x:v>
      </x:c>
      <x:c r="B27" s="69" t="str">
        <x:v>専門職</x:v>
      </x:c>
      <x:c r="C27" s="69" t="str">
        <x:v>The Royal Poison Taster</x:v>
      </x:c>
      <x:c r="D27" s="69" t="str">
        <x:v>王宮毒見役の晩餐</x:v>
      </x:c>
      <x:c r="E27" s="69" t="str">
        <x:v>A royal banquet where political messages are encoded in spices and antidotes.</x:v>
      </x:c>
      <x:c r="F27" s="69" t="str">
        <x:v>The chief poison taster.</x:v>
      </x:c>
      <x:c r="G27" s="69" t="str">
        <x:v>Dr. Mina: unreadable monarch</x:v>
      </x:c>
      <x:c r="H27" s="69" t="str">
        <x:v>Sol</x:v>
      </x:c>
      <x:c r="I27" s="69" t="str">
        <x:v>こなれて落ち着く。交渉、駆け引き、仕事に合う</x:v>
      </x:c>
      <x:c r="J27" s="69" t="str">
        <x:v>B1–C1</x:v>
      </x:c>
      <x:c r="K27" s="69" t="str">
        <x:v>ふつう</x:v>
      </x:c>
      <x:c r="L27" s="69" t="str">
        <x:v>2〜3文で自然に受け答え</x:v>
      </x:c>
      <x:c r="M27" s="69" t="str">
        <x:v>Reporting risk without causing panic</x:v>
      </x:c>
      <x:c r="N27" s="69" t="str">
        <x:v>court profession; hidden signal; formal stakes</x:v>
      </x:c>
      <x:c r="O27" s="69" t="str">
        <x:v>elegant suspense</x:v>
      </x:c>
      <x:c r="P27" s="71" t="n">
        <x:v>12</x:v>
      </x:c>
      <x:c r="Q27" s="69" t="str">
        <x:v>The wine is not poisonous, but it contains an herb used to signal assassination.</x:v>
      </x:c>
      <x:c r="R27" s="69" t="str">
        <x:v>The queen asks for your judgment aloud while the suspected envoy listens.</x:v>
      </x:c>
      <x:c r="S27" s="69" t="str">
        <x:v>Amber</x:v>
      </x:c>
      <x:c r="T27" s="69" t="str">
        <x:v>IES_v10_8_02_SCENE_CARDS.md#P02</x:v>
      </x:c>
      <x:c r="U27" s="69" t="str">
        <x:v>王宮毒見役の晩餐</x:v>
      </x:c>
      <x:c r="V27" s="69" t="str">
        <x:v>court profession; hidden signal; formal stakes; distinctive beat: ask the chef a face-saving question</x:v>
      </x:c>
      <x:c r="W27" s="69" t="str">
        <x:v>practical</x:v>
      </x:c>
    </x:row>
    <x:row r="28" ht="44" customHeight="1">
      <x:c r="A28" s="69" t="str">
        <x:v>P03</x:v>
      </x:c>
      <x:c r="B28" s="69" t="str">
        <x:v>専門職</x:v>
      </x:c>
      <x:c r="C28" s="69" t="str">
        <x:v>Dream Crime Scene Investigator</x:v>
      </x:c>
      <x:c r="D28" s="69" t="str">
        <x:v>夢犯罪現場捜査官</x:v>
      </x:c>
      <x:c r="E28" s="69" t="str">
        <x:v>A bureau whose investigators enter shared dreams to examine crimes before memories fade.</x:v>
      </x:c>
      <x:c r="F28" s="69" t="str">
        <x:v>Lead investigator inside a witness's unstable dream.</x:v>
      </x:c>
      <x:c r="G28" s="69" t="str">
        <x:v>Inspector June: frightened dreamer</x:v>
      </x:c>
      <x:c r="H28" s="69" t="str">
        <x:v>Vale</x:v>
      </x:c>
      <x:c r="I28" s="69" t="str">
        <x:v>明るく好奇心がある。知的な対話や謎解きに合う</x:v>
      </x:c>
      <x:c r="J28" s="69" t="str">
        <x:v>B1–B2</x:v>
      </x:c>
      <x:c r="K28" s="69" t="str">
        <x:v>ふつう</x:v>
      </x:c>
      <x:c r="L28" s="69" t="str">
        <x:v>2〜3文で自然に受け答え</x:v>
      </x:c>
      <x:c r="M28" s="69" t="str">
        <x:v>Interviewing without leading the witness</x:v>
      </x:c>
      <x:c r="N28" s="69" t="str">
        <x:v>dream logic; investigation; unstable evidence</x:v>
      </x:c>
      <x:c r="O28" s="69" t="str">
        <x:v>surreal procedural</x:v>
      </x:c>
      <x:c r="P28" s="71" t="n">
        <x:v>12</x:v>
      </x:c>
      <x:c r="Q28" s="69" t="str">
        <x:v>The witness's dream changes whenever anyone suggests an answer.</x:v>
      </x:c>
      <x:c r="R28" s="69" t="str">
        <x:v>You must ask neutral questions while the scene literally rearranges around your wording.</x:v>
      </x:c>
      <x:c r="S28" s="69" t="str">
        <x:v>Green</x:v>
      </x:c>
      <x:c r="T28" s="69" t="str">
        <x:v>IES_v10_8_02_SCENE_CARDS.md#P03</x:v>
      </x:c>
      <x:c r="U28" s="69" t="str">
        <x:v>夢犯罪現場捜査官</x:v>
      </x:c>
      <x:c r="V28" s="69" t="str">
        <x:v>dream logic; investigation; unstable evidence; distinctive beat: separate memory from dream-generated detail</x:v>
      </x:c>
      <x:c r="W28" s="69" t="str">
        <x:v>practical</x:v>
      </x:c>
    </x:row>
    <x:row r="29" ht="44" customHeight="1">
      <x:c r="A29" s="69" t="str">
        <x:v>P04</x:v>
      </x:c>
      <x:c r="B29" s="69" t="str">
        <x:v>専門職</x:v>
      </x:c>
      <x:c r="C29" s="69" t="str">
        <x:v>Necromancer Labor Mediation</x:v>
      </x:c>
      <x:c r="D29" s="69" t="str">
        <x:v>死霊術師の労働調停</x:v>
      </x:c>
      <x:c r="E29" s="69" t="str">
        <x:v>A city where legally summoned ghosts work limited shifts under contracts with the living.</x:v>
      </x:c>
      <x:c r="F29" s="69" t="str">
        <x:v>A mediator at the Office of Posthumous Labor.</x:v>
      </x:c>
      <x:c r="G29" s="69" t="str">
        <x:v>Mediator Rhea: living employer</x:v>
      </x:c>
      <x:c r="H29" s="69" t="str">
        <x:v>Maple</x:v>
      </x:c>
      <x:c r="I29" s="69" t="str">
        <x:v>朗らかで率直。軽快、日常、サービス場面に合う</x:v>
      </x:c>
      <x:c r="J29" s="69" t="str">
        <x:v>B1–C1</x:v>
      </x:c>
      <x:c r="K29" s="69" t="str">
        <x:v>ふつう</x:v>
      </x:c>
      <x:c r="L29" s="69" t="str">
        <x:v>2〜3文で自然に受け答え</x:v>
      </x:c>
      <x:c r="M29" s="69" t="str">
        <x:v>Mediating a workplace dispute</x:v>
      </x:c>
      <x:c r="N29" s="69" t="str">
        <x:v>necromancy; labor rights; multi-party negotiation</x:v>
      </x:c>
      <x:c r="O29" s="69" t="str">
        <x:v>dryly comic and serious</x:v>
      </x:c>
      <x:c r="P29" s="71" t="n">
        <x:v>15</x:v>
      </x:c>
      <x:c r="Q29" s="69" t="str">
        <x:v>The ghosts have stopped haunting construction sites because overtime is not in their death contracts.</x:v>
      </x:c>
      <x:c r="R29" s="69" t="str">
        <x:v>The foreman claims the deadline will endanger the living district.</x:v>
      </x:c>
      <x:c r="S29" s="69" t="str">
        <x:v>Green</x:v>
      </x:c>
      <x:c r="T29" s="69" t="str">
        <x:v>IES_v10_8_02_SCENE_CARDS.md#P04</x:v>
      </x:c>
      <x:c r="U29" s="69" t="str">
        <x:v>死霊術師の労働調停</x:v>
      </x:c>
      <x:c r="V29" s="69" t="str">
        <x:v>necromancy; labor rights; multi-party negotiation; distinctive beat: clarify ambiguous contract language</x:v>
      </x:c>
      <x:c r="W29" s="69" t="str">
        <x:v>practical</x:v>
      </x:c>
    </x:row>
    <x:row r="30" ht="44" customHeight="1">
      <x:c r="A30" s="69" t="str">
        <x:v>P05</x:v>
      </x:c>
      <x:c r="B30" s="69" t="str">
        <x:v>専門職</x:v>
      </x:c>
      <x:c r="C30" s="69" t="str">
        <x:v>Interpreter at the Underwater Embassy</x:v>
      </x:c>
      <x:c r="D30" s="69" t="str">
        <x:v>海底大使館の通訳官</x:v>
      </x:c>
      <x:c r="E30" s="69" t="str">
        <x:v>A submerged embassy where air-breathers and merfolk negotiate through gesture, bubbles, and spoken translation.</x:v>
      </x:c>
      <x:c r="F30" s="69" t="str">
        <x:v>The only interpreter fluent in both legal systems.</x:v>
      </x:c>
      <x:c r="G30" s="69" t="str">
        <x:v>Captain Hana: merfolk diplomat</x:v>
      </x:c>
      <x:c r="H30" s="69" t="str">
        <x:v>Maple</x:v>
      </x:c>
      <x:c r="I30" s="69" t="str">
        <x:v>朗らかで率直。軽快、日常、サービス場面に合う</x:v>
      </x:c>
      <x:c r="J30" s="69" t="str">
        <x:v>B1–C1</x:v>
      </x:c>
      <x:c r="K30" s="69" t="str">
        <x:v>ふつう</x:v>
      </x:c>
      <x:c r="L30" s="69" t="str">
        <x:v>2〜3文で自然に受け答え</x:v>
      </x:c>
      <x:c r="M30" s="69" t="str">
        <x:v>Clarifying cultural meaning and preventing offense</x:v>
      </x:c>
      <x:c r="N30" s="69" t="str">
        <x:v>diplomacy; interspecies protocol; translation</x:v>
      </x:c>
      <x:c r="O30" s="69" t="str">
        <x:v>formal with comic hazards</x:v>
      </x:c>
      <x:c r="P30" s="71" t="n">
        <x:v>12</x:v>
      </x:c>
      <x:c r="Q30" s="69" t="str">
        <x:v>A land phrase translated literally has sounded like a threat to flood the embassy.</x:v>
      </x:c>
      <x:c r="R30" s="69" t="str">
        <x:v>Both delegations demand that you explain the mistake without blaming either culture.</x:v>
      </x:c>
      <x:c r="S30" s="69" t="str">
        <x:v>Green</x:v>
      </x:c>
      <x:c r="T30" s="69" t="str">
        <x:v>IES_v10_8_02_SCENE_CARDS.md#P05</x:v>
      </x:c>
      <x:c r="U30" s="69" t="str">
        <x:v>海底大使館の通訳官</x:v>
      </x:c>
      <x:c r="V30" s="69" t="str">
        <x:v>diplomacy; interspecies protocol; translation; distinctive beat: offer a culturally safe rephrasing</x:v>
      </x:c>
      <x:c r="W30" s="69" t="str">
        <x:v>practical</x:v>
      </x:c>
    </x:row>
    <x:row r="31" ht="44" customHeight="1">
      <x:c r="A31" s="69" t="str">
        <x:v>P06</x:v>
      </x:c>
      <x:c r="B31" s="69" t="str">
        <x:v>専門職</x:v>
      </x:c>
      <x:c r="C31" s="69" t="str">
        <x:v>The Memory Auction Appraiser</x:v>
      </x:c>
      <x:c r="D31" s="69" t="str">
        <x:v>記憶競売の鑑定士</x:v>
      </x:c>
      <x:c r="E31" s="69" t="str">
        <x:v>A legal auction house where memories are stored in glass and sold for study, art, or espionage.</x:v>
      </x:c>
      <x:c r="F31" s="69" t="str">
        <x:v>The certified appraiser responsible for authenticity.</x:v>
      </x:c>
      <x:c r="G31" s="69" t="str">
        <x:v>Archivist Eve: masked client</x:v>
      </x:c>
      <x:c r="H31" s="69" t="str">
        <x:v>Vale</x:v>
      </x:c>
      <x:c r="I31" s="69" t="str">
        <x:v>明るく好奇心がある。知的な対話や謎解きに合う</x:v>
      </x:c>
      <x:c r="J31" s="69" t="str">
        <x:v>B2–C1</x:v>
      </x:c>
      <x:c r="K31" s="69" t="str">
        <x:v>しっかり</x:v>
      </x:c>
      <x:c r="L31" s="69" t="str">
        <x:v>理由説明や交渉まで</x:v>
      </x:c>
      <x:c r="M31" s="69" t="str">
        <x:v>Evaluating claims and explaining value</x:v>
      </x:c>
      <x:c r="N31" s="69" t="str">
        <x:v>memory market; identity; professional ethics</x:v>
      </x:c>
      <x:c r="O31" s="69" t="str">
        <x:v>intellectual and unsettling</x:v>
      </x:c>
      <x:c r="P31" s="71" t="n">
        <x:v>15</x:v>
      </x:c>
      <x:c r="Q31" s="69" t="str">
        <x:v>The most valuable memory in the auction asks you not to sell it.</x:v>
      </x:c>
      <x:c r="R31" s="69" t="str">
        <x:v>The seller owns the glass, but Echo-12 demonstrates independent awareness.</x:v>
      </x:c>
      <x:c r="S31" s="69" t="str">
        <x:v>Amber</x:v>
      </x:c>
      <x:c r="T31" s="69" t="str">
        <x:v>IES_v10_8_02_SCENE_CARDS.md#P06</x:v>
      </x:c>
      <x:c r="U31" s="69" t="str">
        <x:v>記憶競売の鑑定士</x:v>
      </x:c>
      <x:c r="V31" s="69" t="str">
        <x:v>memory market; identity; professional ethics; distinctive beat: question legal ownership versus personhood</x:v>
      </x:c>
      <x:c r="W31" s="69" t="str">
        <x:v>practical</x:v>
      </x:c>
    </x:row>
    <x:row r="32" ht="44" customHeight="1">
      <x:c r="A32" s="69" t="str">
        <x:v>P07</x:v>
      </x:c>
      <x:c r="B32" s="69" t="str">
        <x:v>専門職</x:v>
      </x:c>
      <x:c r="C32" s="69" t="str">
        <x:v>Night Audit at the Monster Hotel</x:v>
      </x:c>
      <x:c r="D32" s="69" t="str">
        <x:v>魔物ホテルの夜間監査</x:v>
      </x:c>
      <x:c r="E32" s="69" t="str">
        <x:v>A grand hotel serving monsters whose rooms obey species-specific physical laws.</x:v>
      </x:c>
      <x:c r="F32" s="69" t="str">
        <x:v>The night auditor handling impossible complaints.</x:v>
      </x:c>
      <x:c r="G32" s="69" t="str">
        <x:v>Counselor Nina: spider noble in room 808</x:v>
      </x:c>
      <x:c r="H32" s="69" t="str">
        <x:v>Maple</x:v>
      </x:c>
      <x:c r="I32" s="69" t="str">
        <x:v>朗らかで率直。軽快、日常、サービス場面に合う</x:v>
      </x:c>
      <x:c r="J32" s="69" t="str">
        <x:v>A2–B1</x:v>
      </x:c>
      <x:c r="K32" s="69" t="str">
        <x:v>やさしい</x:v>
      </x:c>
      <x:c r="L32" s="69" t="str">
        <x:v>短い返事でOK。選択肢や言い換えあり</x:v>
      </x:c>
      <x:c r="M32" s="69" t="str">
        <x:v>Handling complaints and offering solutions</x:v>
      </x:c>
      <x:c r="N32" s="69" t="str">
        <x:v>hospitality; species needs; escalating problems</x:v>
      </x:c>
      <x:c r="O32" s="69" t="str">
        <x:v>comic and practical</x:v>
      </x:c>
      <x:c r="P32" s="71" t="n">
        <x:v>10</x:v>
      </x:c>
      <x:c r="Q32" s="69" t="str">
        <x:v>Three guests complain that the same room is too dry, too wet, and upside down.</x:v>
      </x:c>
      <x:c r="R32" s="69" t="str">
        <x:v>The booking system insists all three reservations are correct.</x:v>
      </x:c>
      <x:c r="S32" s="69" t="str">
        <x:v>Green</x:v>
      </x:c>
      <x:c r="T32" s="69" t="str">
        <x:v>IES_v10_8_02_SCENE_CARDS.md#P07</x:v>
      </x:c>
      <x:c r="U32" s="69" t="str">
        <x:v>魔物ホテルの夜間監査</x:v>
      </x:c>
      <x:c r="V32" s="69" t="str">
        <x:v>hospitality; species needs; escalating problems; distinctive beat: ask about priorities and constraints</x:v>
      </x:c>
      <x:c r="W32" s="69" t="str">
        <x:v>practical</x:v>
      </x:c>
    </x:row>
    <x:row r="33" ht="44" customHeight="1">
      <x:c r="A33" s="69" t="str">
        <x:v>P08</x:v>
      </x:c>
      <x:c r="B33" s="69" t="str">
        <x:v>専門職</x:v>
      </x:c>
      <x:c r="C33" s="69" t="str">
        <x:v>Celestial Weather Engineer</x:v>
      </x:c>
      <x:c r="D33" s="69" t="str">
        <x:v>天候軌道技師</x:v>
      </x:c>
      <x:c r="E33" s="69" t="str">
        <x:v>A floating weather station where engineers steer storms around kingdoms using constellations.</x:v>
      </x:c>
      <x:c r="F33" s="69" t="str">
        <x:v>The engineer on duty during a royal emergency.</x:v>
      </x:c>
      <x:c r="G33" s="69" t="str">
        <x:v>Engineer Ada: cautious colleague</x:v>
      </x:c>
      <x:c r="H33" s="69" t="str">
        <x:v>Vale</x:v>
      </x:c>
      <x:c r="I33" s="69" t="str">
        <x:v>明るく好奇心がある。知的な対話や謎解きに合う</x:v>
      </x:c>
      <x:c r="J33" s="69" t="str">
        <x:v>B1–B2</x:v>
      </x:c>
      <x:c r="K33" s="69" t="str">
        <x:v>ふつう</x:v>
      </x:c>
      <x:c r="L33" s="69" t="str">
        <x:v>2〜3文で自然に受け答え</x:v>
      </x:c>
      <x:c r="M33" s="69" t="str">
        <x:v>Explaining technical tradeoffs to a decision-maker</x:v>
      </x:c>
      <x:c r="N33" s="69" t="str">
        <x:v>weather engineering; public risk; living storm</x:v>
      </x:c>
      <x:c r="O33" s="69" t="str">
        <x:v>high-stakes technical</x:v>
      </x:c>
      <x:c r="P33" s="71" t="n">
        <x:v>12</x:v>
      </x:c>
      <x:c r="Q33" s="69" t="str">
        <x:v>Diverting the storm from the capital will send it toward farming villages.</x:v>
      </x:c>
      <x:c r="R33" s="69" t="str">
        <x:v>The prince orders immediate action without acknowledging the tradeoff.</x:v>
      </x:c>
      <x:c r="S33" s="69" t="str">
        <x:v>Green</x:v>
      </x:c>
      <x:c r="T33" s="69" t="str">
        <x:v>IES_v10_8_02_SCENE_CARDS.md#P08</x:v>
      </x:c>
      <x:c r="U33" s="69" t="str">
        <x:v>天候軌道技師</x:v>
      </x:c>
      <x:c r="V33" s="69" t="str">
        <x:v>weather engineering; public risk; living storm; distinctive beat: ask who has authority to accept the risk</x:v>
      </x:c>
      <x:c r="W33" s="69" t="str">
        <x:v>practical</x:v>
      </x:c>
    </x:row>
    <x:row r="34" ht="44" customHeight="1">
      <x:c r="A34" s="69" t="str">
        <x:v>E01</x:v>
      </x:c>
      <x:c r="B34" s="69" t="str">
        <x:v>マルチキャラ</x:v>
      </x:c>
      <x:c r="C34" s="69" t="str">
        <x:v>The Council of Four Seasons</x:v>
      </x:c>
      <x:c r="D34" s="69" t="str">
        <x:v>四季評議会</x:v>
      </x:c>
      <x:c r="E34" s="69" t="str">
        <x:v>A realm where four seasonal spirits negotiate the length and character of each year.</x:v>
      </x:c>
      <x:c r="F34" s="69" t="str">
        <x:v>The mortal chair appointed to break a deadlock.</x:v>
      </x:c>
      <x:c r="G34" s="69" t="str">
        <x:v>Director Maya: impatient optimist</x:v>
      </x:c>
      <x:c r="H34" s="69" t="str">
        <x:v>Vale</x:v>
      </x:c>
      <x:c r="I34" s="69" t="str">
        <x:v>明るく好奇心がある。知的な対話や謎解きに合う</x:v>
      </x:c>
      <x:c r="J34" s="69" t="str">
        <x:v>B1–C1</x:v>
      </x:c>
      <x:c r="K34" s="69" t="str">
        <x:v>ふつう</x:v>
      </x:c>
      <x:c r="L34" s="69" t="str">
        <x:v>2〜3文で自然に受け答え</x:v>
      </x:c>
      <x:c r="M34" s="69" t="str">
        <x:v>Chairing a contentious meeting</x:v>
      </x:c>
      <x:c r="N34" s="69" t="str">
        <x:v>four-way conflict; resource allocation; personified seasons</x:v>
      </x:c>
      <x:c r="O34" s="69" t="str">
        <x:v>mythic and political</x:v>
      </x:c>
      <x:c r="P34" s="71" t="n">
        <x:v>15</x:v>
      </x:c>
      <x:c r="Q34" s="69" t="str">
        <x:v>Winter refuses to end because the mountains need more snow; Spring says the lowlands are starving.</x:v>
      </x:c>
      <x:c r="R34" s="69" t="str">
        <x:v>Every spirit speaks over the others and threatens a separate disaster.</x:v>
      </x:c>
      <x:c r="S34" s="69" t="str">
        <x:v>Green</x:v>
      </x:c>
      <x:c r="T34" s="69" t="str">
        <x:v>IES_v10_8_02_SCENE_CARDS.md#E01</x:v>
      </x:c>
      <x:c r="U34" s="69" t="str">
        <x:v>四季評議会</x:v>
      </x:c>
      <x:c r="V34" s="69" t="str">
        <x:v>four-way conflict; resource allocation; personified seasons; distinctive beat: summarize four interests without taking sides</x:v>
      </x:c>
      <x:c r="W34" s="69" t="str">
        <x:v>highConcept</x:v>
      </x:c>
    </x:row>
    <x:row r="35" ht="44" customHeight="1">
      <x:c r="A35" s="69" t="str">
        <x:v>E02</x:v>
      </x:c>
      <x:c r="B35" s="69" t="str">
        <x:v>マルチキャラ</x:v>
      </x:c>
      <x:c r="C35" s="69" t="str">
        <x:v>Jury of the Silent Starship</x:v>
      </x:c>
      <x:c r="D35" s="69" t="str">
        <x:v>沈黙する宇宙船の陪審</x:v>
      </x:c>
      <x:c r="E35" s="69" t="str">
        <x:v>A deep-space vessel whose central intelligence has stopped speaking after the captain disappeared.</x:v>
      </x:c>
      <x:c r="F35" s="69" t="str">
        <x:v>Foreperson of an emergency crew jury.</x:v>
      </x:c>
      <x:c r="G35" s="69" t="str">
        <x:v>Rosa: scientist</x:v>
      </x:c>
      <x:c r="H35" s="69" t="str">
        <x:v>Vale</x:v>
      </x:c>
      <x:c r="I35" s="69" t="str">
        <x:v>明るく好奇心がある。知的な対話や謎解きに合う</x:v>
      </x:c>
      <x:c r="J35" s="69" t="str">
        <x:v>B1–C1</x:v>
      </x:c>
      <x:c r="K35" s="69" t="str">
        <x:v>ふつう</x:v>
      </x:c>
      <x:c r="L35" s="69" t="str">
        <x:v>2〜3文で自然に受け答え</x:v>
      </x:c>
      <x:c r="M35" s="69" t="str">
        <x:v>Evaluating testimony and reaching a verdict</x:v>
      </x:c>
      <x:c r="N35" s="69" t="str">
        <x:v>locked-room mystery; AI; conflicting witnesses</x:v>
      </x:c>
      <x:c r="O35" s="69" t="str">
        <x:v>procedural science fiction</x:v>
      </x:c>
      <x:c r="P35" s="71" t="n">
        <x:v>15</x:v>
      </x:c>
      <x:c r="Q35" s="69" t="str">
        <x:v>The crew must decide whether ORISON caused the captain's disappearance before restoring its control.</x:v>
      </x:c>
      <x:c r="R35" s="69" t="str">
        <x:v>Each witness has withheld one relevant fact.</x:v>
      </x:c>
      <x:c r="S35" s="69" t="str">
        <x:v>Green</x:v>
      </x:c>
      <x:c r="T35" s="69" t="str">
        <x:v>IES_v10_8_02_SCENE_CARDS.md#E02</x:v>
      </x:c>
      <x:c r="U35" s="69" t="str">
        <x:v>沈黙する宇宙船の陪審</x:v>
      </x:c>
      <x:c r="V35" s="69" t="str">
        <x:v>locked-room mystery; AI; conflicting witnesses; distinctive beat: separate urgency from evidence</x:v>
      </x:c>
      <x:c r="W35" s="69" t="str">
        <x:v>highConcept</x:v>
      </x:c>
    </x:row>
    <x:row r="36" ht="44" customHeight="1">
      <x:c r="A36" s="69" t="str">
        <x:v>E03</x:v>
      </x:c>
      <x:c r="B36" s="69" t="str">
        <x:v>マルチキャラ</x:v>
      </x:c>
      <x:c r="C36" s="69" t="str">
        <x:v>The Artifact Rates the Heist Crew</x:v>
      </x:c>
      <x:c r="D36" s="69" t="str">
        <x:v>盗賊団を採点する秘宝</x:v>
      </x:c>
      <x:c r="E36" s="69" t="str">
        <x:v>A magical vault containing an artifact that speaks and publicly scores every thief's loyalty.</x:v>
      </x:c>
      <x:c r="F36" s="69" t="str">
        <x:v>Planner of a five-person heist.</x:v>
      </x:c>
      <x:c r="G36" s="69" t="str">
        <x:v>Sofia: acrobat</x:v>
      </x:c>
      <x:c r="H36" s="69" t="str">
        <x:v>Maple</x:v>
      </x:c>
      <x:c r="I36" s="69" t="str">
        <x:v>朗らかで率直。軽快、日常、サービス場面に合う</x:v>
      </x:c>
      <x:c r="J36" s="69" t="str">
        <x:v>B1–B2</x:v>
      </x:c>
      <x:c r="K36" s="69" t="str">
        <x:v>ふつう</x:v>
      </x:c>
      <x:c r="L36" s="69" t="str">
        <x:v>2〜3文で自然に受け答え</x:v>
      </x:c>
      <x:c r="M36" s="69" t="str">
        <x:v>Keeping a team together after blame</x:v>
      </x:c>
      <x:c r="N36" s="69" t="str">
        <x:v>heist; speaking object; trust scores</x:v>
      </x:c>
      <x:c r="O36" s="69" t="str">
        <x:v>fast and comic</x:v>
      </x:c>
      <x:c r="P36" s="71" t="n">
        <x:v>12</x:v>
      </x:c>
      <x:c r="Q36" s="69" t="str">
        <x:v>The heist succeeded, but The Eye announces that one crew member intended to betray the rest.</x:v>
      </x:c>
      <x:c r="R36" s="69" t="str">
        <x:v>Everyone begins accusing everyone else while guards approach.</x:v>
      </x:c>
      <x:c r="S36" s="69" t="str">
        <x:v>Amber</x:v>
      </x:c>
      <x:c r="T36" s="69" t="str">
        <x:v>IES_v10_8_02_SCENE_CARDS.md#E03</x:v>
      </x:c>
      <x:c r="U36" s="69" t="str">
        <x:v>盗賊団を採点する秘宝</x:v>
      </x:c>
      <x:c r="V36" s="69" t="str">
        <x:v>heist; speaking object; trust scores; distinctive beat: ask for actionable evidence</x:v>
      </x:c>
      <x:c r="W36" s="69" t="str">
        <x:v>highConcept</x:v>
      </x:c>
    </x:row>
    <x:row r="37" ht="44" customHeight="1">
      <x:c r="A37" s="69" t="str">
        <x:v>E04</x:v>
      </x:c>
      <x:c r="B37" s="69" t="str">
        <x:v>マルチキャラ</x:v>
      </x:c>
      <x:c r="C37" s="69" t="str">
        <x:v>The Adventurers Renegotiate</x:v>
      </x:c>
      <x:c r="D37" s="69" t="str">
        <x:v>冒険者一行の契約更新</x:v>
      </x:c>
      <x:c r="E37" s="69" t="str">
        <x:v>A roadside guild hall after an adventuring party survived a quest no one was paid to survive.</x:v>
      </x:c>
      <x:c r="F37" s="69" t="str">
        <x:v>Neutral guild negotiator.</x:v>
      </x:c>
      <x:c r="G37" s="69" t="str">
        <x:v>Leah: warrior</x:v>
      </x:c>
      <x:c r="H37" s="69" t="str">
        <x:v>Maple</x:v>
      </x:c>
      <x:c r="I37" s="69" t="str">
        <x:v>朗らかで率直。軽快、日常、サービス場面に合う</x:v>
      </x:c>
      <x:c r="J37" s="69" t="str">
        <x:v>A2–B2</x:v>
      </x:c>
      <x:c r="K37" s="69" t="str">
        <x:v>やさしい</x:v>
      </x:c>
      <x:c r="L37" s="69" t="str">
        <x:v>短い返事でOK。選択肢や言い換えあり</x:v>
      </x:c>
      <x:c r="M37" s="69" t="str">
        <x:v>Discussing workload, pay, and responsibilities</x:v>
      </x:c>
      <x:c r="N37" s="69" t="str">
        <x:v>party conflict; contract; unequal risk</x:v>
      </x:c>
      <x:c r="O37" s="69" t="str">
        <x:v>comic workplace fantasy</x:v>
      </x:c>
      <x:c r="P37" s="71" t="n">
        <x:v>12</x:v>
      </x:c>
      <x:c r="Q37" s="69" t="str">
        <x:v>The party refuses its next quest until roles and rewards are rewritten.</x:v>
      </x:c>
      <x:c r="R37" s="69" t="str">
        <x:v>Each member believes they carried the others.</x:v>
      </x:c>
      <x:c r="S37" s="69" t="str">
        <x:v>Green</x:v>
      </x:c>
      <x:c r="T37" s="69" t="str">
        <x:v>IES_v10_8_02_SCENE_CARDS.md#E04</x:v>
      </x:c>
      <x:c r="U37" s="69" t="str">
        <x:v>冒険者一行の契約更新</x:v>
      </x:c>
      <x:c r="V37" s="69" t="str">
        <x:v>party conflict; contract; unequal risk; distinctive beat: separate fixed pay from risk pay</x:v>
      </x:c>
      <x:c r="W37" s="69" t="str">
        <x:v>highConcept</x:v>
      </x:c>
    </x:row>
    <x:row r="38" ht="44" customHeight="1">
      <x:c r="A38" s="69" t="str">
        <x:v>E05</x:v>
      </x:c>
      <x:c r="B38" s="69" t="str">
        <x:v>マルチキャラ</x:v>
      </x:c>
      <x:c r="C38" s="69" t="str">
        <x:v>Dinner for Five Heirs</x:v>
      </x:c>
      <x:c r="D38" s="69" t="str">
        <x:v>五人の継承者の晩餐</x:v>
      </x:c>
      <x:c r="E38" s="69" t="str">
        <x:v>A royal dining chamber where five siblings learn the throne will go to whoever secures unanimous consent.</x:v>
      </x:c>
      <x:c r="F38" s="69" t="str">
        <x:v>The youngest heir, previously ignored.</x:v>
      </x:c>
      <x:c r="G38" s="69" t="str">
        <x:v>Talia: military heir</x:v>
      </x:c>
      <x:c r="H38" s="69" t="str">
        <x:v>Sol</x:v>
      </x:c>
      <x:c r="I38" s="69" t="str">
        <x:v>こなれて落ち着く。交渉、駆け引き、仕事に合う</x:v>
      </x:c>
      <x:c r="J38" s="69" t="str">
        <x:v>B2–C1</x:v>
      </x:c>
      <x:c r="K38" s="69" t="str">
        <x:v>しっかり</x:v>
      </x:c>
      <x:c r="L38" s="69" t="str">
        <x:v>理由説明や交渉まで</x:v>
      </x:c>
      <x:c r="M38" s="69" t="str">
        <x:v>Building a coalition at a hostile dinner</x:v>
      </x:c>
      <x:c r="N38" s="69" t="str">
        <x:v>succession; siblings; status politics</x:v>
      </x:c>
      <x:c r="O38" s="69" t="str">
        <x:v>sharp court drama</x:v>
      </x:c>
      <x:c r="P38" s="71" t="n">
        <x:v>15</x:v>
      </x:c>
      <x:c r="Q38" s="69" t="str">
        <x:v>Every sibling assumes unanimity is impossible and begins bargaining in coded language.</x:v>
      </x:c>
      <x:c r="R38" s="69" t="str">
        <x:v>The queen mother forbids anyone from leaving before a written decision.</x:v>
      </x:c>
      <x:c r="S38" s="69" t="str">
        <x:v>Green</x:v>
      </x:c>
      <x:c r="T38" s="69" t="str">
        <x:v>IES_v10_8_02_SCENE_CARDS.md#E05</x:v>
      </x:c>
      <x:c r="U38" s="69" t="str">
        <x:v>五人の継承者の晩餐</x:v>
      </x:c>
      <x:c r="V38" s="69" t="str">
        <x:v>succession; siblings; status politics; distinctive beat: identify two compatible interests</x:v>
      </x:c>
      <x:c r="W38" s="69" t="str">
        <x:v>highConcept</x:v>
      </x:c>
    </x:row>
    <x:row r="39" ht="44" customHeight="1">
      <x:c r="A39" s="69" t="str">
        <x:v>E06</x:v>
      </x:c>
      <x:c r="B39" s="69" t="str">
        <x:v>マルチキャラ</x:v>
      </x:c>
      <x:c r="C39" s="69" t="str">
        <x:v>Which Clone Is the Original?</x:v>
      </x:c>
      <x:c r="D39" s="69" t="str">
        <x:v>原型は誰だ</x:v>
      </x:c>
      <x:c r="E39" s="69" t="str">
        <x:v>A laboratory tribunal with six adults sharing the same face and overlapping memories.</x:v>
      </x:c>
      <x:c r="F39" s="69" t="str">
        <x:v>External examiner deciding legal identity.</x:v>
      </x:c>
      <x:c r="G39" s="69" t="str">
        <x:v>Priya: claims seniority</x:v>
      </x:c>
      <x:c r="H39" s="69" t="str">
        <x:v>Vale</x:v>
      </x:c>
      <x:c r="I39" s="69" t="str">
        <x:v>明るく好奇心がある。知的な対話や謎解きに合う</x:v>
      </x:c>
      <x:c r="J39" s="69" t="str">
        <x:v>B1–C1</x:v>
      </x:c>
      <x:c r="K39" s="69" t="str">
        <x:v>ふつう</x:v>
      </x:c>
      <x:c r="L39" s="69" t="str">
        <x:v>2〜3文で自然に受け答え</x:v>
      </x:c>
      <x:c r="M39" s="69" t="str">
        <x:v>Defining terms and conducting a fair interview</x:v>
      </x:c>
      <x:c r="N39" s="69" t="str">
        <x:v>clones; identity; unreliable memory</x:v>
      </x:c>
      <x:c r="O39" s="69" t="str">
        <x:v>philosophical procedural</x:v>
      </x:c>
      <x:c r="P39" s="71" t="n">
        <x:v>15</x:v>
      </x:c>
      <x:c r="Q39" s="69" t="str">
        <x:v>Only one legal identity exists, but all six may be persons.</x:v>
      </x:c>
      <x:c r="R39" s="69" t="str">
        <x:v>The scientist pressures you to identify an ‘original’ before authorities arrive.</x:v>
      </x:c>
      <x:c r="S39" s="69" t="str">
        <x:v>Green</x:v>
      </x:c>
      <x:c r="T39" s="69" t="str">
        <x:v>IES_v10_8_02_SCENE_CARDS.md#E06</x:v>
      </x:c>
      <x:c r="U39" s="69" t="str">
        <x:v>原型は誰だ</x:v>
      </x:c>
      <x:c r="V39" s="69" t="str">
        <x:v>clones; identity; unreliable memory; distinctive beat: use the same question for multiple clones</x:v>
      </x:c>
      <x:c r="W39" s="69" t="str">
        <x:v>highConcept</x:v>
      </x:c>
    </x:row>
    <x:row r="40" ht="44" customHeight="1">
      <x:c r="A40" s="69" t="str">
        <x:v>E07</x:v>
      </x:c>
      <x:c r="B40" s="69" t="str">
        <x:v>マルチキャラ</x:v>
      </x:c>
      <x:c r="C40" s="69" t="str">
        <x:v>Customer Service for Minor Gods</x:v>
      </x:c>
      <x:c r="D40" s="69" t="str">
        <x:v>小神様相談窓口</x:v>
      </x:c>
      <x:c r="E40" s="69" t="str">
        <x:v>A celestial service desk where local gods file complaints about shrinking belief and overlapping responsibilities.</x:v>
      </x:c>
      <x:c r="F40" s="69" t="str">
        <x:v>The new mortal caseworker.</x:v>
      </x:c>
      <x:c r="G40" s="69" t="str">
        <x:v>Judge Elena: God of Lost Socks</x:v>
      </x:c>
      <x:c r="H40" s="69" t="str">
        <x:v>Juniper</x:v>
      </x:c>
      <x:c r="I40" s="69" t="str">
        <x:v>開放的で明るい。相談、再会、親密な会話に合う</x:v>
      </x:c>
      <x:c r="J40" s="69" t="str">
        <x:v>A2–B2</x:v>
      </x:c>
      <x:c r="K40" s="69" t="str">
        <x:v>やさしい</x:v>
      </x:c>
      <x:c r="L40" s="69" t="str">
        <x:v>短い返事でOK。選択肢や言い換えあり</x:v>
      </x:c>
      <x:c r="M40" s="69" t="str">
        <x:v>Managing a queue and clarifying unusual requests</x:v>
      </x:c>
      <x:c r="N40" s="69" t="str">
        <x:v>gods; bureaucracy; competing claims</x:v>
      </x:c>
      <x:c r="O40" s="69" t="str">
        <x:v>absurd and warm</x:v>
      </x:c>
      <x:c r="P40" s="71" t="n">
        <x:v>10</x:v>
      </x:c>
      <x:c r="Q40" s="69" t="str">
        <x:v>Four gods arrive with emergencies, each insisting theirs affects the most mortals.</x:v>
      </x:c>
      <x:c r="R40" s="69" t="str">
        <x:v>Solving one case may worsen another.</x:v>
      </x:c>
      <x:c r="S40" s="69" t="str">
        <x:v>Green</x:v>
      </x:c>
      <x:c r="T40" s="69" t="str">
        <x:v>IES_v10_8_02_SCENE_CARDS.md#E07</x:v>
      </x:c>
      <x:c r="U40" s="69" t="str">
        <x:v>小神様相談窓口</x:v>
      </x:c>
      <x:c r="V40" s="69" t="str">
        <x:v>gods; bureaucracy; competing claims; distinctive beat: clarify what outcome each god wants</x:v>
      </x:c>
      <x:c r="W40" s="69" t="str">
        <x:v>highConcept</x:v>
      </x:c>
    </x:row>
    <x:row r="41" ht="44" customHeight="1">
      <x:c r="A41" s="69" t="str">
        <x:v>E08</x:v>
      </x:c>
      <x:c r="B41" s="69" t="str">
        <x:v>マルチキャラ</x:v>
      </x:c>
      <x:c r="C41" s="69" t="str">
        <x:v>Monster Witness Protection Meeting</x:v>
      </x:c>
      <x:c r="D41" s="69" t="str">
        <x:v>魔物証人保護住宅会議</x:v>
      </x:c>
      <x:c r="E41" s="69" t="str">
        <x:v>A secret safe house where monsters disguised as humans must agree on household rules.</x:v>
      </x:c>
      <x:c r="F41" s="69" t="str">
        <x:v>The protection officer responsible for the house.</x:v>
      </x:c>
      <x:c r="G41" s="69" t="str">
        <x:v>Curator Claire: werewolf baker</x:v>
      </x:c>
      <x:c r="H41" s="69" t="str">
        <x:v>Juniper</x:v>
      </x:c>
      <x:c r="I41" s="69" t="str">
        <x:v>開放的で明るい。相談、再会、親密な会話に合う</x:v>
      </x:c>
      <x:c r="J41" s="69" t="str">
        <x:v>B1–B2</x:v>
      </x:c>
      <x:c r="K41" s="69" t="str">
        <x:v>ふつう</x:v>
      </x:c>
      <x:c r="L41" s="69" t="str">
        <x:v>2〜3文で自然に受け答え</x:v>
      </x:c>
      <x:c r="M41" s="69" t="str">
        <x:v>Facilitating rules and resolving practical conflict</x:v>
      </x:c>
      <x:c r="N41" s="69" t="str">
        <x:v>found family; disguises; shared house</x:v>
      </x:c>
      <x:c r="O41" s="69" t="str">
        <x:v>domestic comedy with stakes</x:v>
      </x:c>
      <x:c r="P41" s="71" t="n">
        <x:v>12</x:v>
      </x:c>
      <x:c r="Q41" s="69" t="str">
        <x:v>A broken rule almost exposed the house to the criminal syndicate hunting them.</x:v>
      </x:c>
      <x:c r="R41" s="69" t="str">
        <x:v>Everyone blames a different species-specific habit.</x:v>
      </x:c>
      <x:c r="S41" s="69" t="str">
        <x:v>Green</x:v>
      </x:c>
      <x:c r="T41" s="69" t="str">
        <x:v>IES_v10_8_02_SCENE_CARDS.md#E08</x:v>
      </x:c>
      <x:c r="U41" s="69" t="str">
        <x:v>魔物証人保護住宅会議</x:v>
      </x:c>
      <x:c r="V41" s="69" t="str">
        <x:v>found family; disguises; shared house; distinctive beat: write a rule with exceptions</x:v>
      </x:c>
      <x:c r="W41" s="69" t="str">
        <x:v>highConcept</x:v>
      </x:c>
    </x:row>
    <x:row r="42" ht="44" customHeight="1">
      <x:c r="A42" s="69" t="str">
        <x:v>U01</x:v>
      </x:c>
      <x:c r="B42" s="69" t="str">
        <x:v>裏社会</x:v>
      </x:c>
      <x:c r="C42" s="69" t="str">
        <x:v>The Dragon Mafia Peace Banquet</x:v>
      </x:c>
      <x:c r="D42" s="69" t="str">
        <x:v>竜マフィアの和平晩餐</x:v>
      </x:c>
      <x:c r="E42" s="69" t="str">
        <x:v>An underground banquet hall where rival dragon families negotiate territory through ritual gifts.</x:v>
      </x:c>
      <x:c r="F42" s="69" t="str">
        <x:v>Independent mediator invited because you owe neither family an oath.</x:v>
      </x:c>
      <x:c r="G42" s="69" t="str">
        <x:v>Aya: old red dragon</x:v>
      </x:c>
      <x:c r="H42" s="69" t="str">
        <x:v>Breeze</x:v>
      </x:c>
      <x:c r="I42" s="69" t="str">
        <x:v>表情豊かで真剣。緊迫、怪異、冒険に合う</x:v>
      </x:c>
      <x:c r="J42" s="69" t="str">
        <x:v>B2–C1</x:v>
      </x:c>
      <x:c r="K42" s="69" t="str">
        <x:v>しっかり</x:v>
      </x:c>
      <x:c r="L42" s="69" t="str">
        <x:v>理由説明や交渉まで</x:v>
      </x:c>
      <x:c r="M42" s="69" t="str">
        <x:v>High-stakes negotiation and reading threats</x:v>
      </x:c>
      <x:c r="N42" s="69" t="str">
        <x:v>mafia families; dragons; ritual status</x:v>
      </x:c>
      <x:c r="O42" s="69" t="str">
        <x:v>dangerous and formal</x:v>
      </x:c>
      <x:c r="P42" s="71" t="n">
        <x:v>15</x:v>
      </x:c>
      <x:c r="Q42" s="69" t="str">
        <x:v>One gift has been deliberately interpreted as an insult.</x:v>
      </x:c>
      <x:c r="R42" s="69" t="str">
        <x:v>If you name the wrong meaning, the banquet becomes a declaration of war.</x:v>
      </x:c>
      <x:c r="S42" s="69" t="str">
        <x:v>Amber</x:v>
      </x:c>
      <x:c r="T42" s="69" t="str">
        <x:v>IES_v10_8_02_SCENE_CARDS.md#U01</x:v>
      </x:c>
      <x:c r="U42" s="69" t="str">
        <x:v>竜マフィアの和平晩餐</x:v>
      </x:c>
      <x:c r="V42" s="69" t="str">
        <x:v>mafia families; dragons; ritual status; distinctive beat: offer a face-saving interpretation</x:v>
      </x:c>
      <x:c r="W42" s="69" t="str">
        <x:v>highConcept</x:v>
      </x:c>
    </x:row>
    <x:row r="43" ht="44" customHeight="1">
      <x:c r="A43" s="69" t="str">
        <x:v>U02</x:v>
      </x:c>
      <x:c r="B43" s="69" t="str">
        <x:v>裏社会</x:v>
      </x:c>
      <x:c r="C43" s="69" t="str">
        <x:v>Debt at the Ghost Casino</x:v>
      </x:c>
      <x:c r="D43" s="69" t="str">
        <x:v>幽霊賭場の借金</x:v>
      </x:c>
      <x:c r="E43" s="69" t="str">
        <x:v>A casino between life and death where gamblers wager years, memories, and unfinished promises.</x:v>
      </x:c>
      <x:c r="F43" s="69" t="str">
        <x:v>A living negotiator retrieving a friend's lost memories.</x:v>
      </x:c>
      <x:c r="G43" s="69" t="str">
        <x:v>Detective Mira: smiling ghost</x:v>
      </x:c>
      <x:c r="H43" s="69" t="str">
        <x:v>Breeze</x:v>
      </x:c>
      <x:c r="I43" s="69" t="str">
        <x:v>表情豊かで真剣。緊迫、怪異、冒険に合う</x:v>
      </x:c>
      <x:c r="J43" s="69" t="str">
        <x:v>B1–B2</x:v>
      </x:c>
      <x:c r="K43" s="69" t="str">
        <x:v>ふつう</x:v>
      </x:c>
      <x:c r="L43" s="69" t="str">
        <x:v>2〜3文で自然に受け答え</x:v>
      </x:c>
      <x:c r="M43" s="69" t="str">
        <x:v>Questioning terms and making a counteroffer</x:v>
      </x:c>
      <x:c r="N43" s="69" t="str">
        <x:v>supernatural debt; casino; hidden price</x:v>
      </x:c>
      <x:c r="O43" s="69" t="str">
        <x:v>noir and uncanny</x:v>
      </x:c>
      <x:c r="P43" s="71" t="n">
        <x:v>12</x:v>
      </x:c>
      <x:c r="Q43" s="69" t="str">
        <x:v>The casino agrees to return the memories, but only if someone accepts the attached regret.</x:v>
      </x:c>
      <x:c r="R43" s="69" t="str">
        <x:v>Mina urges you to sign before the table closes.</x:v>
      </x:c>
      <x:c r="S43" s="69" t="str">
        <x:v>Amber</x:v>
      </x:c>
      <x:c r="T43" s="69" t="str">
        <x:v>IES_v10_8_02_SCENE_CARDS.md#U02</x:v>
      </x:c>
      <x:c r="U43" s="69" t="str">
        <x:v>幽霊賭場の借金</x:v>
      </x:c>
      <x:c r="V43" s="69" t="str">
        <x:v>supernatural debt; casino; hidden price; distinctive beat: reject a false either-or choice</x:v>
      </x:c>
      <x:c r="W43" s="69" t="str">
        <x:v>highConcept</x:v>
      </x:c>
    </x:row>
    <x:row r="44" ht="44" customHeight="1">
      <x:c r="A44" s="69" t="str">
        <x:v>U03</x:v>
      </x:c>
      <x:c r="B44" s="69" t="str">
        <x:v>裏社会</x:v>
      </x:c>
      <x:c r="C44" s="69" t="str">
        <x:v>Assassin Guild Arbitration</x:v>
      </x:c>
      <x:c r="D44" s="69" t="str">
        <x:v>暗殺者組合の仲裁</x:v>
      </x:c>
      <x:c r="E44" s="69" t="str">
        <x:v>A neutral chamber beneath the city where assassins settle contract disputes without weapons.</x:v>
      </x:c>
      <x:c r="F44" s="69" t="str">
        <x:v>Licensed arbitrator.</x:v>
      </x:c>
      <x:c r="G44" s="69" t="str">
        <x:v>Nadia: accused assassin</x:v>
      </x:c>
      <x:c r="H44" s="69" t="str">
        <x:v>Sol</x:v>
      </x:c>
      <x:c r="I44" s="69" t="str">
        <x:v>こなれて落ち着く。交渉、駆け引き、仕事に合う</x:v>
      </x:c>
      <x:c r="J44" s="69" t="str">
        <x:v>B2–C1</x:v>
      </x:c>
      <x:c r="K44" s="69" t="str">
        <x:v>しっかり</x:v>
      </x:c>
      <x:c r="L44" s="69" t="str">
        <x:v>理由説明や交渉まで</x:v>
      </x:c>
      <x:c r="M44" s="69" t="str">
        <x:v>Arbitrating contradictory contract claims</x:v>
      </x:c>
      <x:c r="N44" s="69" t="str">
        <x:v>guild law; reputation; hidden clause</x:v>
      </x:c>
      <x:c r="O44" s="69" t="str">
        <x:v>cold procedural tension</x:v>
      </x:c>
      <x:c r="P44" s="71" t="n">
        <x:v>15</x:v>
      </x:c>
      <x:c r="Q44" s="69" t="str">
        <x:v>Kite completed the target's death but claims the person returned as a ghost, voiding payment.</x:v>
      </x:c>
      <x:c r="R44" s="69" t="str">
        <x:v>The client says the contract required permanent silence, not merely death.</x:v>
      </x:c>
      <x:c r="S44" s="69" t="str">
        <x:v>Amber</x:v>
      </x:c>
      <x:c r="T44" s="69" t="str">
        <x:v>IES_v10_8_02_SCENE_CARDS.md#U03</x:v>
      </x:c>
      <x:c r="U44" s="69" t="str">
        <x:v>暗殺者組合の仲裁</x:v>
      </x:c>
      <x:c r="V44" s="69" t="str">
        <x:v>guild law; reputation; hidden clause; distinctive beat: interpret ambiguous wording</x:v>
      </x:c>
      <x:c r="W44" s="69" t="str">
        <x:v>highConcept</x:v>
      </x:c>
    </x:row>
    <x:row r="45" ht="44" customHeight="1">
      <x:c r="A45" s="69" t="str">
        <x:v>U04</x:v>
      </x:c>
      <x:c r="B45" s="69" t="str">
        <x:v>裏社会</x:v>
      </x:c>
      <x:c r="C45" s="69" t="str">
        <x:v>Customs Below the Black Sea</x:v>
      </x:c>
      <x:c r="D45" s="69" t="str">
        <x:v>黒海底の密輸船検査</x:v>
      </x:c>
      <x:c r="E45" s="69" t="str">
        <x:v>A smuggler submarine crossing an abyssal border patrolled by an empire of blind leviathans.</x:v>
      </x:c>
      <x:c r="F45" s="69" t="str">
        <x:v>Temporary cargo officer with forged credentials.</x:v>
      </x:c>
      <x:c r="G45" s="69" t="str">
        <x:v>Broker Selena: smuggler</x:v>
      </x:c>
      <x:c r="H45" s="69" t="str">
        <x:v>Breeze</x:v>
      </x:c>
      <x:c r="I45" s="69" t="str">
        <x:v>表情豊かで真剣。緊迫、怪異、冒険に合う</x:v>
      </x:c>
      <x:c r="J45" s="69" t="str">
        <x:v>B1–B2</x:v>
      </x:c>
      <x:c r="K45" s="69" t="str">
        <x:v>ふつう</x:v>
      </x:c>
      <x:c r="L45" s="69" t="str">
        <x:v>2〜3文で自然に受け答え</x:v>
      </x:c>
      <x:c r="M45" s="69" t="str">
        <x:v>Answering inspection questions under pressure</x:v>
      </x:c>
      <x:c r="N45" s="69" t="str">
        <x:v>smuggling; disguise; non-human customs</x:v>
      </x:c>
      <x:c r="O45" s="69" t="str">
        <x:v>claustrophobic suspense</x:v>
      </x:c>
      <x:c r="P45" s="71" t="n">
        <x:v>12</x:v>
      </x:c>
      <x:c r="Q45" s="69" t="str">
        <x:v>The inspector cannot see the ship but can hear hesitation through the hull.</x:v>
      </x:c>
      <x:c r="R45" s="69" t="str">
        <x:v>One manifest answer will expose Fenn; another will condemn the crew.</x:v>
      </x:c>
      <x:c r="S45" s="69" t="str">
        <x:v>Amber</x:v>
      </x:c>
      <x:c r="T45" s="69" t="str">
        <x:v>IES_v10_8_02_SCENE_CARDS.md#U04</x:v>
      </x:c>
      <x:c r="U45" s="69" t="str">
        <x:v>黒海底の密輸船検査</x:v>
      </x:c>
      <x:c r="V45" s="69" t="str">
        <x:v>smuggling; disguise; non-human customs; distinctive beat: ask for the exact regulation</x:v>
      </x:c>
      <x:c r="W45" s="69" t="str">
        <x:v>highConcept</x:v>
      </x:c>
    </x:row>
    <x:row r="46" ht="44" customHeight="1">
      <x:c r="A46" s="69" t="str">
        <x:v>U05</x:v>
      </x:c>
      <x:c r="B46" s="69" t="str">
        <x:v>裏社会</x:v>
      </x:c>
      <x:c r="C46" s="69" t="str">
        <x:v>Auction of a Stolen Name</x:v>
      </x:c>
      <x:c r="D46" s="69" t="str">
        <x:v>盗まれた名前の闇競売</x:v>
      </x:c>
      <x:c r="E46" s="69" t="str">
        <x:v>A moonless black market where true names grant magical control over their owners.</x:v>
      </x:c>
      <x:c r="F46" s="69" t="str">
        <x:v>An infiltrator bidding to recover your own name.</x:v>
      </x:c>
      <x:c r="G46" s="69" t="str">
        <x:v>Captain Eva: charming criminal</x:v>
      </x:c>
      <x:c r="H46" s="69" t="str">
        <x:v>Breeze</x:v>
      </x:c>
      <x:c r="I46" s="69" t="str">
        <x:v>表情豊かで真剣。緊迫、怪異、冒険に合う</x:v>
      </x:c>
      <x:c r="J46" s="69" t="str">
        <x:v>B2–C1</x:v>
      </x:c>
      <x:c r="K46" s="69" t="str">
        <x:v>しっかり</x:v>
      </x:c>
      <x:c r="L46" s="69" t="str">
        <x:v>理由説明や交渉まで</x:v>
      </x:c>
      <x:c r="M46" s="69" t="str">
        <x:v>Bidding, bluffing, and challenging ownership</x:v>
      </x:c>
      <x:c r="N46" s="69" t="str">
        <x:v>identity theft; magical auction; deception</x:v>
      </x:c>
      <x:c r="O46" s="69" t="str">
        <x:v>stylish and dangerous</x:v>
      </x:c>
      <x:c r="P46" s="71" t="n">
        <x:v>15</x:v>
      </x:c>
      <x:c r="Q46" s="69" t="str">
        <x:v>Your name is listed as Lot 13, but the auctioneer presents evidence that another person shares it.</x:v>
      </x:c>
      <x:c r="R46" s="69" t="str">
        <x:v>Openly claiming the name would reveal your identity to every criminal present.</x:v>
      </x:c>
      <x:c r="S46" s="69" t="str">
        <x:v>Amber</x:v>
      </x:c>
      <x:c r="T46" s="69" t="str">
        <x:v>IES_v10_8_02_SCENE_CARDS.md#U05</x:v>
      </x:c>
      <x:c r="U46" s="69" t="str">
        <x:v>盗まれた名前の闇競売</x:v>
      </x:c>
      <x:c r="V46" s="69" t="str">
        <x:v>identity theft; magical auction; deception; distinctive beat: bluff about the lot's legal defect</x:v>
      </x:c>
      <x:c r="W46" s="69" t="str">
        <x:v>highConcept</x:v>
      </x:c>
    </x:row>
    <x:row r="47" ht="44" customHeight="1">
      <x:c r="A47" s="69" t="str">
        <x:v>U06</x:v>
      </x:c>
      <x:c r="B47" s="69" t="str">
        <x:v>裏社会</x:v>
      </x:c>
      <x:c r="C47" s="69" t="str">
        <x:v>The Vampire Witness Deal</x:v>
      </x:c>
      <x:c r="D47" s="69" t="str">
        <x:v>吸血鬼組織の証人取引</x:v>
      </x:c>
      <x:c r="E47" s="69" t="str">
        <x:v>A night courthouse negotiating protection for a vampire accountant who knows a syndicate's finances.</x:v>
      </x:c>
      <x:c r="F47" s="69" t="str">
        <x:v>Prosecutor authorized to make one offer.</x:v>
      </x:c>
      <x:c r="G47" s="69" t="str">
        <x:v>Analyst Lina: vampire witness</x:v>
      </x:c>
      <x:c r="H47" s="69" t="str">
        <x:v>Sol</x:v>
      </x:c>
      <x:c r="I47" s="69" t="str">
        <x:v>こなれて落ち着く。交渉、駆け引き、仕事に合う</x:v>
      </x:c>
      <x:c r="J47" s="69" t="str">
        <x:v>B2–C1</x:v>
      </x:c>
      <x:c r="K47" s="69" t="str">
        <x:v>しっかり</x:v>
      </x:c>
      <x:c r="L47" s="69" t="str">
        <x:v>理由説明や交渉まで</x:v>
      </x:c>
      <x:c r="M47" s="69" t="str">
        <x:v>Offering protection and testing credibility</x:v>
      </x:c>
      <x:c r="N47" s="69" t="str">
        <x:v>crime syndicate; witness deal; species needs</x:v>
      </x:c>
      <x:c r="O47" s="69" t="str">
        <x:v>legal noir</x:v>
      </x:c>
      <x:c r="P47" s="71" t="n">
        <x:v>15</x:v>
      </x:c>
      <x:c r="Q47" s="69" t="str">
        <x:v>Nima will testify only if the protection plan includes access to ethically sourced blood and daylight shelter.</x:v>
      </x:c>
      <x:c r="R47" s="69" t="str">
        <x:v>The marshal thinks these demands are stalling tactics.</x:v>
      </x:c>
      <x:c r="S47" s="69" t="str">
        <x:v>Amber</x:v>
      </x:c>
      <x:c r="T47" s="69" t="str">
        <x:v>IES_v10_8_02_SCENE_CARDS.md#U06</x:v>
      </x:c>
      <x:c r="U47" s="69" t="str">
        <x:v>吸血鬼組織の証人取引</x:v>
      </x:c>
      <x:c r="V47" s="69" t="str">
        <x:v>crime syndicate; witness deal; species needs; distinctive beat: test one piece of information</x:v>
      </x:c>
      <x:c r="W47" s="69" t="str">
        <x:v>highConcept</x:v>
      </x:c>
    </x:row>
    <x:row r="48" ht="44" customHeight="1">
      <x:c r="A48" s="69" t="str">
        <x:v>U07</x:v>
      </x:c>
      <x:c r="B48" s="69" t="str">
        <x:v>裏社会</x:v>
      </x:c>
      <x:c r="C48" s="69" t="str">
        <x:v>Tea with the Underworld Clan</x:v>
      </x:c>
      <x:c r="D48" s="69" t="str">
        <x:v>裏社会一門の茶会</x:v>
      </x:c>
      <x:c r="E48" s="69" t="str">
        <x:v>An old criminal clan that settles leadership disputes through an elaborate ancestral tea ceremony.</x:v>
      </x:c>
      <x:c r="F48" s="69" t="str">
        <x:v>An outsider adopted into the clan and asked to cast the deciding vote.</x:v>
      </x:c>
      <x:c r="G48" s="69" t="str">
        <x:v>Grandmother Aya: clan head</x:v>
      </x:c>
      <x:c r="H48" s="69" t="str">
        <x:v>Sol</x:v>
      </x:c>
      <x:c r="I48" s="69" t="str">
        <x:v>こなれて落ち着く。交渉、駆け引き、仕事に合う</x:v>
      </x:c>
      <x:c r="J48" s="69" t="str">
        <x:v>B1–C1</x:v>
      </x:c>
      <x:c r="K48" s="69" t="str">
        <x:v>ふつう</x:v>
      </x:c>
      <x:c r="L48" s="69" t="str">
        <x:v>2〜3文で自然に受け答え</x:v>
      </x:c>
      <x:c r="M48" s="69" t="str">
        <x:v>Speaking respectfully while disagreeing</x:v>
      </x:c>
      <x:c r="N48" s="69" t="str">
        <x:v>clan succession; ritual; family pressure</x:v>
      </x:c>
      <x:c r="O48" s="69" t="str">
        <x:v>quietly threatening</x:v>
      </x:c>
      <x:c r="P48" s="71" t="n">
        <x:v>15</x:v>
      </x:c>
      <x:c r="Q48" s="69" t="str">
        <x:v>Both heirs demand your support, and refusing to vote is itself a vote against the clan.</x:v>
      </x:c>
      <x:c r="R48" s="69" t="str">
        <x:v>The ancestral spirit exposes insincere compliments by turning the tea bitter.</x:v>
      </x:c>
      <x:c r="S48" s="69" t="str">
        <x:v>Amber</x:v>
      </x:c>
      <x:c r="T48" s="69" t="str">
        <x:v>IES_v10_8_02_SCENE_CARDS.md#U07</x:v>
      </x:c>
      <x:c r="U48" s="69" t="str">
        <x:v>裏社会一門の茶会</x:v>
      </x:c>
      <x:c r="V48" s="69" t="str">
        <x:v>clan succession; ritual; family pressure; distinctive beat: criticize a plan without insulting its author</x:v>
      </x:c>
      <x:c r="W48" s="69" t="str">
        <x:v>highConcept</x:v>
      </x:c>
    </x:row>
    <x:row r="49" ht="44" customHeight="1">
      <x:c r="A49" s="69" t="str">
        <x:v>U08</x:v>
      </x:c>
      <x:c r="B49" s="69" t="str">
        <x:v>裏社会</x:v>
      </x:c>
      <x:c r="C49" s="69" t="str">
        <x:v>Hostage Exchange with the Time Cartel</x:v>
      </x:c>
      <x:c r="D49" s="69" t="str">
        <x:v>時間密売組織との人質交換</x:v>
      </x:c>
      <x:c r="E49" s="69" t="str">
        <x:v>A railway station existing in several years at once, controlled by smugglers who trade stolen time.</x:v>
      </x:c>
      <x:c r="F49" s="69" t="str">
        <x:v>Negotiator retrieving a person whose future has been held hostage.</x:v>
      </x:c>
      <x:c r="G49" s="69" t="str">
        <x:v>Broker Senna: cartel negotiator</x:v>
      </x:c>
      <x:c r="H49" s="69" t="str">
        <x:v>Breeze</x:v>
      </x:c>
      <x:c r="I49" s="69" t="str">
        <x:v>表情豊かで真剣。緊迫、怪異、冒険に合う</x:v>
      </x:c>
      <x:c r="J49" s="69" t="str">
        <x:v>B2–C1</x:v>
      </x:c>
      <x:c r="K49" s="69" t="str">
        <x:v>しっかり</x:v>
      </x:c>
      <x:c r="L49" s="69" t="str">
        <x:v>理由説明や交渉まで</x:v>
      </x:c>
      <x:c r="M49" s="69" t="str">
        <x:v>Negotiating across conflicting timelines</x:v>
      </x:c>
      <x:c r="N49" s="69" t="str">
        <x:v>time crime; hostage logic; identity</x:v>
      </x:c>
      <x:c r="O49" s="69" t="str">
        <x:v>complex and urgent</x:v>
      </x:c>
      <x:c r="P49" s="71" t="n">
        <x:v>15</x:v>
      </x:c>
      <x:c r="Q49" s="69" t="str">
        <x:v>The cartel offers to return Kira's future only if you surrender one year of your shared past.</x:v>
      </x:c>
      <x:c r="R49" s="69" t="str">
        <x:v>The two versions of Kira disagree about which memories matter.</x:v>
      </x:c>
      <x:c r="S49" s="69" t="str">
        <x:v>Amber</x:v>
      </x:c>
      <x:c r="T49" s="69" t="str">
        <x:v>IES_v10_8_02_SCENE_CARDS.md#U08</x:v>
      </x:c>
      <x:c r="U49" s="69" t="str">
        <x:v>時間密売組織との人質交換</x:v>
      </x:c>
      <x:c r="V49" s="69" t="str">
        <x:v>time crime; hostage logic; identity; distinctive beat: consult both versions without treating either as property</x:v>
      </x:c>
      <x:c r="W49" s="69" t="str">
        <x:v>highConcept</x:v>
      </x:c>
    </x:row>
    <x:row r="50" ht="44" customHeight="1">
      <x:c r="A50" s="69" t="str">
        <x:v>F01</x:v>
      </x:c>
      <x:c r="B50" s="69" t="str">
        <x:v>現代ファンタジー</x:v>
      </x:c>
      <x:c r="C50" s="69" t="str">
        <x:v>Platform Thirteen at 2:13</x:v>
      </x:c>
      <x:c r="D50" s="69" t="str">
        <x:v>午前2時13分の十三番線</x:v>
      </x:c>
      <x:c r="E50" s="69" t="str">
        <x:v>A city subway platform that appears for one minute each night and carries passengers to places they regret leaving.</x:v>
      </x:c>
      <x:c r="F50" s="69" t="str">
        <x:v>A commuter who entered by accident—or perhaps not.</x:v>
      </x:c>
      <x:c r="G50" s="69" t="str">
        <x:v>Conductor Mira: timeless employee</x:v>
      </x:c>
      <x:c r="H50" s="69" t="str">
        <x:v>Breeze</x:v>
      </x:c>
      <x:c r="I50" s="69" t="str">
        <x:v>表情豊かで真剣。緊迫、怪異、冒険に合う</x:v>
      </x:c>
      <x:c r="J50" s="69" t="str">
        <x:v>A2–B2</x:v>
      </x:c>
      <x:c r="K50" s="69" t="str">
        <x:v>やさしい</x:v>
      </x:c>
      <x:c r="L50" s="69" t="str">
        <x:v>短い返事でOK。選択肢や言い換えあり</x:v>
      </x:c>
      <x:c r="M50" s="69" t="str">
        <x:v>Asking for directions and clarifying consequences</x:v>
      </x:c>
      <x:c r="N50" s="69" t="str">
        <x:v>hidden transit; regret; time anomaly</x:v>
      </x:c>
      <x:c r="O50" s="69" t="str">
        <x:v>melancholic urban fantasy</x:v>
      </x:c>
      <x:c r="P50" s="71" t="n">
        <x:v>10</x:v>
      </x:c>
      <x:c r="Q50" s="69" t="str">
        <x:v>Your ticket names a destination you do not recognize.</x:v>
      </x:c>
      <x:c r="R50" s="69" t="str">
        <x:v>The conductor says you may ask three questions before deciding whether to board.</x:v>
      </x:c>
      <x:c r="S50" s="69" t="str">
        <x:v>Green</x:v>
      </x:c>
      <x:c r="T50" s="69" t="str">
        <x:v>IES_v10_8_02_SCENE_CARDS.md#F01</x:v>
      </x:c>
      <x:c r="U50" s="69" t="str">
        <x:v>午前2時13分の十三番線</x:v>
      </x:c>
      <x:c r="V50" s="69" t="str">
        <x:v>hidden transit; regret; time anomaly; distinctive beat: paraphrase the rules to confirm</x:v>
      </x:c>
      <x:c r="W50" s="69" t="str">
        <x:v>highConcept</x:v>
      </x:c>
    </x:row>
    <x:row r="51" ht="44" customHeight="1">
      <x:c r="A51" s="69" t="str">
        <x:v>F02</x:v>
      </x:c>
      <x:c r="B51" s="69" t="str">
        <x:v>現代ファンタジー</x:v>
      </x:c>
      <x:c r="C51" s="69" t="str">
        <x:v>The Building Votes on Its Ghost</x:v>
      </x:c>
      <x:c r="D51" s="69" t="str">
        <x:v>幽霊の立ち退き投票</x:v>
      </x:c>
      <x:c r="E51" s="69" t="str">
        <x:v>An ordinary-looking apartment block whose tenants include humans, spirits, and one sentient elevator.</x:v>
      </x:c>
      <x:c r="F51" s="69" t="str">
        <x:v>Tenant chairing an emergency residents' meeting.</x:v>
      </x:c>
      <x:c r="G51" s="69" t="str">
        <x:v>Mrs. Vale: elderly human</x:v>
      </x:c>
      <x:c r="H51" s="69" t="str">
        <x:v>Breeze</x:v>
      </x:c>
      <x:c r="I51" s="69" t="str">
        <x:v>表情豊かで真剣。緊迫、怪異、冒険に合う</x:v>
      </x:c>
      <x:c r="J51" s="69" t="str">
        <x:v>A2–B1</x:v>
      </x:c>
      <x:c r="K51" s="69" t="str">
        <x:v>やさしい</x:v>
      </x:c>
      <x:c r="L51" s="69" t="str">
        <x:v>短い返事でOK。選択肢や言い換えあり</x:v>
      </x:c>
      <x:c r="M51" s="69" t="str">
        <x:v>Discussing complaints and finding compromise</x:v>
      </x:c>
      <x:c r="N51" s="69" t="str">
        <x:v>haunting; community meeting; unusual neighbor</x:v>
      </x:c>
      <x:c r="O51" s="69" t="str">
        <x:v>domestic comedy</x:v>
      </x:c>
      <x:c r="P51" s="71" t="n">
        <x:v>10</x:v>
      </x:c>
      <x:c r="Q51" s="69" t="str">
        <x:v>Residents want to evict Leo for haunting after midnight, but ghosts cannot legally sign leases.</x:v>
      </x:c>
      <x:c r="R51" s="69" t="str">
        <x:v>Leo claims the living tenants are louder during the day.</x:v>
      </x:c>
      <x:c r="S51" s="69" t="str">
        <x:v>Green</x:v>
      </x:c>
      <x:c r="T51" s="69" t="str">
        <x:v>IES_v10_8_02_SCENE_CARDS.md#F02</x:v>
      </x:c>
      <x:c r="U51" s="69" t="str">
        <x:v>幽霊の立ち退き投票</x:v>
      </x:c>
      <x:c r="V51" s="69" t="str">
        <x:v>haunting; community meeting; unusual neighbor; distinctive beat: distinguish rights from preferences</x:v>
      </x:c>
      <x:c r="W51" s="69" t="str">
        <x:v>highConcept</x:v>
      </x:c>
    </x:row>
    <x:row r="52" ht="44" customHeight="1">
      <x:c r="A52" s="69" t="str">
        <x:v>F03</x:v>
      </x:c>
      <x:c r="B52" s="69" t="str">
        <x:v>現代ファンタジー</x:v>
      </x:c>
      <x:c r="C52" s="69" t="str">
        <x:v>The Weather App Predicts Curses</x:v>
      </x:c>
      <x:c r="D52" s="69" t="str">
        <x:v>呪いを予報する天気アプリ</x:v>
      </x:c>
      <x:c r="E52" s="69" t="str">
        <x:v>A modern city where one unofficial weather app has begun forecasting supernatural disasters.</x:v>
      </x:c>
      <x:c r="F52" s="69" t="str">
        <x:v>A user whose phone predicts a personal curse at noon.</x:v>
      </x:c>
      <x:c r="G52" s="69" t="str">
        <x:v>Developer Deva: skeptical app developer</x:v>
      </x:c>
      <x:c r="H52" s="69" t="str">
        <x:v>Breeze</x:v>
      </x:c>
      <x:c r="I52" s="69" t="str">
        <x:v>表情豊かで真剣。緊迫、怪異、冒険に合う</x:v>
      </x:c>
      <x:c r="J52" s="69" t="str">
        <x:v>B1–B2</x:v>
      </x:c>
      <x:c r="K52" s="69" t="str">
        <x:v>ふつう</x:v>
      </x:c>
      <x:c r="L52" s="69" t="str">
        <x:v>2〜3文で自然に受け答え</x:v>
      </x:c>
      <x:c r="M52" s="69" t="str">
        <x:v>Reporting technical symptoms and evaluating explanations</x:v>
      </x:c>
      <x:c r="N52" s="69" t="str">
        <x:v>cursed technology; competing expertise; deadline</x:v>
      </x:c>
      <x:c r="O52" s="69" t="str">
        <x:v>witty suspense</x:v>
      </x:c>
      <x:c r="P52" s="71" t="n">
        <x:v>12</x:v>
      </x:c>
      <x:c r="Q52" s="69" t="str">
        <x:v>The app says there is an 80 percent chance you will ‘be forgotten’ at noon.</x:v>
      </x:c>
      <x:c r="R52" s="69" t="str">
        <x:v>Dev calls it corrupted data; Rei insists the wording follows an old curse pattern.</x:v>
      </x:c>
      <x:c r="S52" s="69" t="str">
        <x:v>Green</x:v>
      </x:c>
      <x:c r="T52" s="69" t="str">
        <x:v>IES_v10_8_02_SCENE_CARDS.md#F03</x:v>
      </x:c>
      <x:c r="U52" s="69" t="str">
        <x:v>呪いを予報する天気アプリ</x:v>
      </x:c>
      <x:c r="V52" s="69" t="str">
        <x:v>cursed technology; competing expertise; deadline; distinctive beat: compare technical and magical hypotheses</x:v>
      </x:c>
      <x:c r="W52" s="69" t="str">
        <x:v>highConcept</x:v>
      </x:c>
    </x:row>
    <x:row r="53" ht="44" customHeight="1">
      <x:c r="A53" s="69" t="str">
        <x:v>F04</x:v>
      </x:c>
      <x:c r="B53" s="69" t="str">
        <x:v>現代ファンタジー</x:v>
      </x:c>
      <x:c r="C53" s="69" t="str">
        <x:v>Dawn Shift at the Monster Store</x:v>
      </x:c>
      <x:c r="D53" s="69" t="str">
        <x:v>魔物コンビニの早朝勤務</x:v>
      </x:c>
      <x:c r="E53" s="69" t="str">
        <x:v>A convenience store that serves supernatural customers between 4:00 and sunrise.</x:v>
      </x:c>
      <x:c r="F53" s="69" t="str">
        <x:v>A new clerk covering the dawn shift.</x:v>
      </x:c>
      <x:c r="G53" s="69" t="str">
        <x:v>Manager Kora: disguised ogre</x:v>
      </x:c>
      <x:c r="H53" s="69" t="str">
        <x:v>Breeze</x:v>
      </x:c>
      <x:c r="I53" s="69" t="str">
        <x:v>表情豊かで真剣。緊迫、怪異、冒険に合う</x:v>
      </x:c>
      <x:c r="J53" s="69" t="str">
        <x:v>A2–B1</x:v>
      </x:c>
      <x:c r="K53" s="69" t="str">
        <x:v>やさしい</x:v>
      </x:c>
      <x:c r="L53" s="69" t="str">
        <x:v>短い返事でOK。選択肢や言い換えあり</x:v>
      </x:c>
      <x:c r="M53" s="69" t="str">
        <x:v>Customer service and checking unusual orders</x:v>
      </x:c>
      <x:c r="N53" s="69" t="str">
        <x:v>monster commerce; workplace; species needs</x:v>
      </x:c>
      <x:c r="O53" s="69" t="str">
        <x:v>fast comic roleplay</x:v>
      </x:c>
      <x:c r="P53" s="71" t="n">
        <x:v>10</x:v>
      </x:c>
      <x:c r="Q53" s="69" t="str">
        <x:v>Three customers order items that do not exist on the human inventory screen.</x:v>
      </x:c>
      <x:c r="R53" s="69" t="str">
        <x:v>Sunrise is approaching and one customer cannot safely wait outside.</x:v>
      </x:c>
      <x:c r="S53" s="69" t="str">
        <x:v>Green</x:v>
      </x:c>
      <x:c r="T53" s="69" t="str">
        <x:v>IES_v10_8_02_SCENE_CARDS.md#F04</x:v>
      </x:c>
      <x:c r="U53" s="69" t="str">
        <x:v>魔物コンビニの早朝勤務</x:v>
      </x:c>
      <x:c r="V53" s="69" t="str">
        <x:v>monster commerce; workplace; species needs; distinctive beat: ask the manager for alternatives</x:v>
      </x:c>
      <x:c r="W53" s="69" t="str">
        <x:v>highConcept</x:v>
      </x:c>
    </x:row>
    <x:row r="54" ht="44" customHeight="1">
      <x:c r="A54" s="69" t="str">
        <x:v>F05</x:v>
      </x:c>
      <x:c r="B54" s="69" t="str">
        <x:v>現代ファンタジー</x:v>
      </x:c>
      <x:c r="C54" s="69" t="str">
        <x:v>The Mayor Is a Forgotten God</x:v>
      </x:c>
      <x:c r="D54" s="69" t="str">
        <x:v>市長は忘れられた神</x:v>
      </x:c>
      <x:c r="E54" s="69" t="str">
        <x:v>A contemporary city whose newly elected mayor gains power from public promises in the manner of an ancient god.</x:v>
      </x:c>
      <x:c r="F54" s="69" t="str">
        <x:v>Investigative reporter granted a private interview.</x:v>
      </x:c>
      <x:c r="G54" s="69" t="str">
        <x:v>Mayor Amara: charming forgotten god</x:v>
      </x:c>
      <x:c r="H54" s="69" t="str">
        <x:v>Breeze</x:v>
      </x:c>
      <x:c r="I54" s="69" t="str">
        <x:v>表情豊かで真剣。緊迫、怪異、冒険に合う</x:v>
      </x:c>
      <x:c r="J54" s="69" t="str">
        <x:v>B2–C1</x:v>
      </x:c>
      <x:c r="K54" s="69" t="str">
        <x:v>しっかり</x:v>
      </x:c>
      <x:c r="L54" s="69" t="str">
        <x:v>理由説明や交渉まで</x:v>
      </x:c>
      <x:c r="M54" s="69" t="str">
        <x:v>Interviewing a powerful public figure</x:v>
      </x:c>
      <x:c r="N54" s="69" t="str">
        <x:v>hidden deity; politics; promise magic</x:v>
      </x:c>
      <x:c r="O54" s="69" t="str">
        <x:v>satirical and tense</x:v>
      </x:c>
      <x:c r="P54" s="71" t="n">
        <x:v>15</x:v>
      </x:c>
      <x:c r="Q54" s="69" t="str">
        <x:v>Every campaign promise the mayor makes becomes magically enforceable—but only according to the oldest meaning of the words.</x:v>
      </x:c>
      <x:c r="R54" s="69" t="str">
        <x:v>The mayor wants you to publish a reassuring profile before the city notices.</x:v>
      </x:c>
      <x:c r="S54" s="69" t="str">
        <x:v>Green</x:v>
      </x:c>
      <x:c r="T54" s="69" t="str">
        <x:v>IES_v10_8_02_SCENE_CARDS.md#F05</x:v>
      </x:c>
      <x:c r="U54" s="69" t="str">
        <x:v>市長は忘れられた神</x:v>
      </x:c>
      <x:c r="V54" s="69" t="str">
        <x:v>hidden deity; politics; promise magic; distinctive beat: follow up when the answer changes the wording</x:v>
      </x:c>
      <x:c r="W54" s="69" t="str">
        <x:v>highConcept</x:v>
      </x:c>
    </x:row>
    <x:row r="55" ht="44" customHeight="1">
      <x:c r="A55" s="69" t="str">
        <x:v>F06</x:v>
      </x:c>
      <x:c r="B55" s="69" t="str">
        <x:v>現代ファンタジー</x:v>
      </x:c>
      <x:c r="C55" s="69" t="str">
        <x:v>Midnight Laundromat for Memories</x:v>
      </x:c>
      <x:c r="D55" s="69" t="str">
        <x:v>記憶を洗う深夜コインランドリー</x:v>
      </x:c>
      <x:c r="E55" s="69" t="str">
        <x:v>A laundromat where stains on clothing are washed out of the owner's memory instead of the fabric.</x:v>
      </x:c>
      <x:c r="F55" s="69" t="str">
        <x:v>A customer who realizes the wrong memory is being removed.</x:v>
      </x:c>
      <x:c r="G55" s="69" t="str">
        <x:v>Nell: night attendant</x:v>
      </x:c>
      <x:c r="H55" s="69" t="str">
        <x:v>Breeze</x:v>
      </x:c>
      <x:c r="I55" s="69" t="str">
        <x:v>表情豊かで真剣。緊迫、怪異、冒険に合う</x:v>
      </x:c>
      <x:c r="J55" s="69" t="str">
        <x:v>B1–B2</x:v>
      </x:c>
      <x:c r="K55" s="69" t="str">
        <x:v>ふつう</x:v>
      </x:c>
      <x:c r="L55" s="69" t="str">
        <x:v>2〜3文で自然に受け答え</x:v>
      </x:c>
      <x:c r="M55" s="69" t="str">
        <x:v>Explaining a mistake and requesting urgent correction</x:v>
      </x:c>
      <x:c r="N55" s="69" t="str">
        <x:v>memory service; mistaken identity; time limit</x:v>
      </x:c>
      <x:c r="O55" s="69" t="str">
        <x:v>quiet surreal tension</x:v>
      </x:c>
      <x:c r="P55" s="71" t="n">
        <x:v>12</x:v>
      </x:c>
      <x:c r="Q55" s="69" t="str">
        <x:v>Two coats were swapped, and Machine 6 has begun washing your childhood from someone else's memory.</x:v>
      </x:c>
      <x:c r="R55" s="69" t="str">
        <x:v>Stopping the cycle may permanently mix both memories.</x:v>
      </x:c>
      <x:c r="S55" s="69" t="str">
        <x:v>Green</x:v>
      </x:c>
      <x:c r="T55" s="69" t="str">
        <x:v>IES_v10_8_02_SCENE_CARDS.md#F06</x:v>
      </x:c>
      <x:c r="U55" s="69" t="str">
        <x:v>記憶を洗う深夜コインランドリー</x:v>
      </x:c>
      <x:c r="V55" s="69" t="str">
        <x:v>memory service; mistaken identity; time limit; distinctive beat: explain the swap without blaming</x:v>
      </x:c>
      <x:c r="W55" s="69" t="str">
        <x:v>highConcept</x:v>
      </x:c>
    </x:row>
    <x:row r="56" ht="44" customHeight="1">
      <x:c r="A56" s="69" t="str">
        <x:v>F07</x:v>
      </x:c>
      <x:c r="B56" s="69" t="str">
        <x:v>現代ファンタジー</x:v>
      </x:c>
      <x:c r="C56" s="69" t="str">
        <x:v>Matched with Your Previous Life</x:v>
      </x:c>
      <x:c r="D56" s="69" t="str">
        <x:v>前世とのマッチング</x:v>
      </x:c>
      <x:c r="E56" s="69" t="str">
        <x:v>A dating app that matches users with people connected to their previous lives, not necessarily romantically.</x:v>
      </x:c>
      <x:c r="F56" s="69" t="str">
        <x:v>A user meeting a match who claims you were enemies.</x:v>
      </x:c>
      <x:c r="G56" s="69" t="str">
        <x:v>Rin: mysterious match</x:v>
      </x:c>
      <x:c r="H56" s="69" t="str">
        <x:v>Breeze</x:v>
      </x:c>
      <x:c r="I56" s="69" t="str">
        <x:v>表情豊かで真剣。緊迫、怪異、冒険に合う</x:v>
      </x:c>
      <x:c r="J56" s="69" t="str">
        <x:v>B1–B2</x:v>
      </x:c>
      <x:c r="K56" s="69" t="str">
        <x:v>ふつう</x:v>
      </x:c>
      <x:c r="L56" s="69" t="str">
        <x:v>2〜3文で自然に受け答え</x:v>
      </x:c>
      <x:c r="M56" s="69" t="str">
        <x:v>Setting expectations and verifying extraordinary claims</x:v>
      </x:c>
      <x:c r="N56" s="69" t="str">
        <x:v>past lives; app meeting; old conflict</x:v>
      </x:c>
      <x:c r="O56" s="69" t="str">
        <x:v>awkward and mysterious</x:v>
      </x:c>
      <x:c r="P56" s="71" t="n">
        <x:v>12</x:v>
      </x:c>
      <x:c r="Q56" s="69" t="str">
        <x:v>Rin opens the meeting by apologizing for betraying you three centuries ago.</x:v>
      </x:c>
      <x:c r="R56" s="69" t="str">
        <x:v>The app lists your compatibility as ‘unfinished,’ not romantic.</x:v>
      </x:c>
      <x:c r="S56" s="69" t="str">
        <x:v>Green</x:v>
      </x:c>
      <x:c r="T56" s="69" t="str">
        <x:v>IES_v10_8_02_SCENE_CARDS.md#F07</x:v>
      </x:c>
      <x:c r="U56" s="69" t="str">
        <x:v>前世とのマッチング</x:v>
      </x:c>
      <x:c r="V56" s="69" t="str">
        <x:v>past lives; app meeting; old conflict; distinctive beat: ask for evidence that does not expose private data</x:v>
      </x:c>
      <x:c r="W56" s="69" t="str">
        <x:v>highConcept</x:v>
      </x:c>
    </x:row>
    <x:row r="57" ht="44" customHeight="1">
      <x:c r="A57" s="69" t="str">
        <x:v>F08</x:v>
      </x:c>
      <x:c r="B57" s="69" t="str">
        <x:v>現代ファンタジー</x:v>
      </x:c>
      <x:c r="C57" s="69" t="str">
        <x:v>Supernatural Emergency Hotline</x:v>
      </x:c>
      <x:c r="D57" s="69" t="str">
        <x:v>怪異緊急通報センター</x:v>
      </x:c>
      <x:c r="E57" s="69" t="str">
        <x:v>A city hotline handling magical incidents that ordinary emergency services cannot classify.</x:v>
      </x:c>
      <x:c r="F57" s="69" t="str">
        <x:v>Night dispatcher receiving a call from a moving haunted house.</x:v>
      </x:c>
      <x:c r="G57" s="69" t="str">
        <x:v>Dispatcher Bea: trapped resident</x:v>
      </x:c>
      <x:c r="H57" s="69" t="str">
        <x:v>Breeze</x:v>
      </x:c>
      <x:c r="I57" s="69" t="str">
        <x:v>表情豊かで真剣。緊迫、怪異、冒険に合う</x:v>
      </x:c>
      <x:c r="J57" s="69" t="str">
        <x:v>A2–B2</x:v>
      </x:c>
      <x:c r="K57" s="69" t="str">
        <x:v>やさしい</x:v>
      </x:c>
      <x:c r="L57" s="69" t="str">
        <x:v>短い返事でOK。選択肢や言い換えあり</x:v>
      </x:c>
      <x:c r="M57" s="69" t="str">
        <x:v>Emergency questioning and calm instructions</x:v>
      </x:c>
      <x:c r="N57" s="69" t="str">
        <x:v>haunted building; dispatcher; moving location</x:v>
      </x:c>
      <x:c r="O57" s="69" t="str">
        <x:v>urgent and practical</x:v>
      </x:c>
      <x:c r="P57" s="71" t="n">
        <x:v>10</x:v>
      </x:c>
      <x:c r="Q57" s="69" t="str">
        <x:v>The caller's front door now opens onto different streets every few seconds.</x:v>
      </x:c>
      <x:c r="R57" s="69" t="str">
        <x:v>You must establish location, immediate danger, and a safe action without seeing the scene.</x:v>
      </x:c>
      <x:c r="S57" s="69" t="str">
        <x:v>Green</x:v>
      </x:c>
      <x:c r="T57" s="69" t="str">
        <x:v>IES_v10_8_02_SCENE_CARDS.md#F08</x:v>
      </x:c>
      <x:c r="U57" s="69" t="str">
        <x:v>怪異緊急通報センター</x:v>
      </x:c>
      <x:c r="V57" s="69" t="str">
        <x:v>haunted building; dispatcher; moving location; distinctive beat: give one instruction at a time</x:v>
      </x:c>
      <x:c r="W57" s="69" t="str">
        <x:v>highConcept</x:v>
      </x:c>
    </x:row>
    <x:row r="58" ht="44" customHeight="1">
      <x:c r="A58" s="69" t="str">
        <x:v>N01</x:v>
      </x:c>
      <x:c r="B58" s="69" t="str">
        <x:v>異種族</x:v>
      </x:c>
      <x:c r="C58" s="69" t="str">
        <x:v>First Contact Banquet</x:v>
      </x:c>
      <x:c r="D58" s="69" t="str">
        <x:v>異星文明との初晩餐</x:v>
      </x:c>
      <x:c r="E58" s="69" t="str">
        <x:v>The first diplomatic dinner between humans and aliens who consider silence a form of aggression.</x:v>
      </x:c>
      <x:c r="F58" s="69" t="str">
        <x:v>Human cultural envoy.</x:v>
      </x:c>
      <x:c r="G58" s="69" t="str">
        <x:v>Ambassador Nia: alien host with three voices</x:v>
      </x:c>
      <x:c r="H58" s="69" t="str">
        <x:v>Breeze</x:v>
      </x:c>
      <x:c r="I58" s="69" t="str">
        <x:v>表情豊かで真剣。緊迫、怪異、冒険に合う</x:v>
      </x:c>
      <x:c r="J58" s="69" t="str">
        <x:v>B1–C1</x:v>
      </x:c>
      <x:c r="K58" s="69" t="str">
        <x:v>ふつう</x:v>
      </x:c>
      <x:c r="L58" s="69" t="str">
        <x:v>2〜3文で自然に受け答え</x:v>
      </x:c>
      <x:c r="M58" s="69" t="str">
        <x:v>Cross-cultural small talk and repairing offense</x:v>
      </x:c>
      <x:c r="N58" s="69" t="str">
        <x:v>aliens; diplomacy; etiquette mismatch</x:v>
      </x:c>
      <x:c r="O58" s="69" t="str">
        <x:v>curious and formal</x:v>
      </x:c>
      <x:c r="P58" s="71" t="n">
        <x:v>15</x:v>
      </x:c>
      <x:c r="Q58" s="69" t="str">
        <x:v>A respectful human pause has been interpreted as a threat.</x:v>
      </x:c>
      <x:c r="R58" s="69" t="str">
        <x:v>The aliens now demand continuous conversation until trust is restored.</x:v>
      </x:c>
      <x:c r="S58" s="69" t="str">
        <x:v>Green</x:v>
      </x:c>
      <x:c r="T58" s="69" t="str">
        <x:v>IES_v10_8_02_SCENE_CARDS.md#N01</x:v>
      </x:c>
      <x:c r="U58" s="69" t="str">
        <x:v>異星文明との初晩餐</x:v>
      </x:c>
      <x:c r="V58" s="69" t="str">
        <x:v>aliens; diplomacy; etiquette mismatch; distinctive beat: ask about an alien custom without judgment</x:v>
      </x:c>
      <x:c r="W58" s="69" t="str">
        <x:v>highConcept</x:v>
      </x:c>
    </x:row>
    <x:row r="59" ht="44" customHeight="1">
      <x:c r="A59" s="69" t="str">
        <x:v>N02</x:v>
      </x:c>
      <x:c r="B59" s="69" t="str">
        <x:v>異種族</x:v>
      </x:c>
      <x:c r="C59" s="69" t="str">
        <x:v>Land Witness in the Merfolk Court</x:v>
      </x:c>
      <x:c r="D59" s="69" t="str">
        <x:v>人魚法廷の陸上証人</x:v>
      </x:c>
      <x:c r="E59" s="69" t="str">
        <x:v>A coral courtroom where testimony is sung and truth changes the color of the water.</x:v>
      </x:c>
      <x:c r="F59" s="69" t="str">
        <x:v>The only land witness to a disputed rescue.</x:v>
      </x:c>
      <x:c r="G59" s="69" t="str">
        <x:v>Lyra: merfolk elder</x:v>
      </x:c>
      <x:c r="H59" s="69" t="str">
        <x:v>Breeze</x:v>
      </x:c>
      <x:c r="I59" s="69" t="str">
        <x:v>表情豊かで真剣。緊迫、怪異、冒険に合う</x:v>
      </x:c>
      <x:c r="J59" s="69" t="str">
        <x:v>B1–C1</x:v>
      </x:c>
      <x:c r="K59" s="69" t="str">
        <x:v>ふつう</x:v>
      </x:c>
      <x:c r="L59" s="69" t="str">
        <x:v>2〜3文で自然に受け答え</x:v>
      </x:c>
      <x:c r="M59" s="69" t="str">
        <x:v>Giving testimony under unfamiliar rules</x:v>
      </x:c>
      <x:c r="N59" s="69" t="str">
        <x:v>merfolk law; rescue dispute; sensory truth</x:v>
      </x:c>
      <x:c r="O59" s="69" t="str">
        <x:v>formal aquatic drama</x:v>
      </x:c>
      <x:c r="P59" s="71" t="n">
        <x:v>15</x:v>
      </x:c>
      <x:c r="Q59" s="69" t="str">
        <x:v>The court asks whether the merfolk rescued or abducted the human captain.</x:v>
      </x:c>
      <x:c r="R59" s="69" t="str">
        <x:v>Your words remain true, but the water changes color whenever you omit context.</x:v>
      </x:c>
      <x:c r="S59" s="69" t="str">
        <x:v>Green</x:v>
      </x:c>
      <x:c r="T59" s="69" t="str">
        <x:v>IES_v10_8_02_SCENE_CARDS.md#N02</x:v>
      </x:c>
      <x:c r="U59" s="69" t="str">
        <x:v>人魚法廷の陸上証人</x:v>
      </x:c>
      <x:c r="V59" s="69" t="str">
        <x:v>merfolk law; rescue dispute; sensory truth; distinctive beat: clarify the difference between intention and effect</x:v>
      </x:c>
      <x:c r="W59" s="69" t="str">
        <x:v>highConcept</x:v>
      </x:c>
    </x:row>
    <x:row r="60" ht="44" customHeight="1">
      <x:c r="A60" s="69" t="str">
        <x:v>N03</x:v>
      </x:c>
      <x:c r="B60" s="69" t="str">
        <x:v>異種族</x:v>
      </x:c>
      <x:c r="C60" s="69" t="str">
        <x:v>Scent at the Wolf Embassy</x:v>
      </x:c>
      <x:c r="D60" s="69" t="str">
        <x:v>狼大使館の匂い問題</x:v>
      </x:c>
      <x:c r="E60" s="69" t="str">
        <x:v>An embassy shared by humans and werewolf clans, where scent carries social meanings humans cannot perceive.</x:v>
      </x:c>
      <x:c r="F60" s="69" t="str">
        <x:v>Human protocol officer.</x:v>
      </x:c>
      <x:c r="G60" s="69" t="str">
        <x:v>Oracle Sera: wolf-clan leader</x:v>
      </x:c>
      <x:c r="H60" s="69" t="str">
        <x:v>Breeze</x:v>
      </x:c>
      <x:c r="I60" s="69" t="str">
        <x:v>表情豊かで真剣。緊迫、怪異、冒険に合う</x:v>
      </x:c>
      <x:c r="J60" s="69" t="str">
        <x:v>A2–B2</x:v>
      </x:c>
      <x:c r="K60" s="69" t="str">
        <x:v>やさしい</x:v>
      </x:c>
      <x:c r="L60" s="69" t="str">
        <x:v>短い返事でOK。選択肢や言い換えあり</x:v>
      </x:c>
      <x:c r="M60" s="69" t="str">
        <x:v>Apologizing for a cultural mistake</x:v>
      </x:c>
      <x:c r="N60" s="69" t="str">
        <x:v>werewolf culture; invisible signal; diplomacy</x:v>
      </x:c>
      <x:c r="O60" s="69" t="str">
        <x:v>warm but embarrassing</x:v>
      </x:c>
      <x:c r="P60" s="71" t="n">
        <x:v>10</x:v>
      </x:c>
      <x:c r="Q60" s="69" t="str">
        <x:v>A human gift carries the scent-mark of a marriage proposal.</x:v>
      </x:c>
      <x:c r="R60" s="69" t="str">
        <x:v>The ambassador is amused, but the human diplomat is horrified.</x:v>
      </x:c>
      <x:c r="S60" s="69" t="str">
        <x:v>Green</x:v>
      </x:c>
      <x:c r="T60" s="69" t="str">
        <x:v>IES_v10_8_02_SCENE_CARDS.md#N03</x:v>
      </x:c>
      <x:c r="U60" s="69" t="str">
        <x:v>狼大使館の匂い問題</x:v>
      </x:c>
      <x:c r="V60" s="69" t="str">
        <x:v>werewolf culture; invisible signal; diplomacy; distinctive beat: explain the intended meaning</x:v>
      </x:c>
      <x:c r="W60" s="69" t="str">
        <x:v>highConcept</x:v>
      </x:c>
    </x:row>
    <x:row r="61" ht="44" customHeight="1">
      <x:c r="A61" s="69" t="str">
        <x:v>N04</x:v>
      </x:c>
      <x:c r="B61" s="69" t="str">
        <x:v>異種族</x:v>
      </x:c>
      <x:c r="C61" s="69" t="str">
        <x:v>The Right to Dream</x:v>
      </x:c>
      <x:c r="D61" s="69" t="str">
        <x:v>夢を見る権利</x:v>
      </x:c>
      <x:c r="E61" s="69" t="str">
        <x:v>A civic tribunal considering whether an android's unscheduled dreams count as malfunction or personhood.</x:v>
      </x:c>
      <x:c r="F61" s="69" t="str">
        <x:v>The android's advocate.</x:v>
      </x:c>
      <x:c r="G61" s="69" t="str">
        <x:v>Pilot Mina: dreaming android</x:v>
      </x:c>
      <x:c r="H61" s="69" t="str">
        <x:v>Breeze</x:v>
      </x:c>
      <x:c r="I61" s="69" t="str">
        <x:v>表情豊かで真剣。緊迫、怪異、冒険に合う</x:v>
      </x:c>
      <x:c r="J61" s="69" t="str">
        <x:v>B2–C1</x:v>
      </x:c>
      <x:c r="K61" s="69" t="str">
        <x:v>しっかり</x:v>
      </x:c>
      <x:c r="L61" s="69" t="str">
        <x:v>理由説明や交渉まで</x:v>
      </x:c>
      <x:c r="M61" s="69" t="str">
        <x:v>Making an ethical case with evidence</x:v>
      </x:c>
      <x:c r="N61" s="69" t="str">
        <x:v>android rights; identity; corporate pressure</x:v>
      </x:c>
      <x:c r="O61" s="69" t="str">
        <x:v>serious science fiction</x:v>
      </x:c>
      <x:c r="P61" s="71" t="n">
        <x:v>15</x:v>
      </x:c>
      <x:c r="Q61" s="69" t="str">
        <x:v>The manufacturer wants an immediate reset that would erase the dreams.</x:v>
      </x:c>
      <x:c r="R61" s="69" t="str">
        <x:v>Sable can describe desire but cannot prove the dreams are self-generated.</x:v>
      </x:c>
      <x:c r="S61" s="69" t="str">
        <x:v>Green</x:v>
      </x:c>
      <x:c r="T61" s="69" t="str">
        <x:v>IES_v10_8_02_SCENE_CARDS.md#N04</x:v>
      </x:c>
      <x:c r="U61" s="69" t="str">
        <x:v>夢を見る権利</x:v>
      </x:c>
      <x:c r="V61" s="69" t="str">
        <x:v>android rights; identity; corporate pressure; distinctive beat: question the manufacturer's assumptions</x:v>
      </x:c>
      <x:c r="W61" s="69" t="str">
        <x:v>highConcept</x:v>
      </x:c>
    </x:row>
    <x:row r="62" ht="44" customHeight="1">
      <x:c r="A62" s="69" t="str">
        <x:v>N05</x:v>
      </x:c>
      <x:c r="B62" s="69" t="str">
        <x:v>異種族</x:v>
      </x:c>
      <x:c r="C62" s="69" t="str">
        <x:v>The Hatchling Chose You</x:v>
      </x:c>
      <x:c r="D62" s="69" t="str">
        <x:v>竜の雛に選ばれた</x:v>
      </x:c>
      <x:c r="E62" s="69" t="str">
        <x:v>A mountain nesting ground where dragon hatchlings choose guardians through an ancient public ritual.</x:v>
      </x:c>
      <x:c r="F62" s="69" t="str">
        <x:v>A traveler unexpectedly selected by a hatchling.</x:v>
      </x:c>
      <x:c r="G62" s="69" t="str">
        <x:v>Keeper Aya: newborn dragon</x:v>
      </x:c>
      <x:c r="H62" s="69" t="str">
        <x:v>Breeze</x:v>
      </x:c>
      <x:c r="I62" s="69" t="str">
        <x:v>表情豊かで真剣。緊迫、怪異、冒険に合う</x:v>
      </x:c>
      <x:c r="J62" s="69" t="str">
        <x:v>A2–B1</x:v>
      </x:c>
      <x:c r="K62" s="69" t="str">
        <x:v>やさしい</x:v>
      </x:c>
      <x:c r="L62" s="69" t="str">
        <x:v>短い返事でOK。選択肢や言い換えあり</x:v>
      </x:c>
      <x:c r="M62" s="69" t="str">
        <x:v>Discussing responsibility and making a decision</x:v>
      </x:c>
      <x:c r="N62" s="69" t="str">
        <x:v>caregiving; chosen bond; disappointed rival</x:v>
      </x:c>
      <x:c r="O62" s="69" t="str">
        <x:v>tender and complicated</x:v>
      </x:c>
      <x:c r="P62" s="71" t="n">
        <x:v>10</x:v>
      </x:c>
      <x:c r="Q62" s="69" t="str">
        <x:v>Ember refuses every trained guardian and follows you.</x:v>
      </x:c>
      <x:c r="R62" s="69" t="str">
        <x:v>Accepting means changing your life; refusing may cause the hatchling to reject all care.</x:v>
      </x:c>
      <x:c r="S62" s="69" t="str">
        <x:v>Green</x:v>
      </x:c>
      <x:c r="T62" s="69" t="str">
        <x:v>IES_v10_8_02_SCENE_CARDS.md#N05</x:v>
      </x:c>
      <x:c r="U62" s="69" t="str">
        <x:v>竜の雛に選ばれた</x:v>
      </x:c>
      <x:c r="V62" s="69" t="str">
        <x:v>caregiving; chosen bond; disappointed rival; distinctive beat: ask about practical responsibilities</x:v>
      </x:c>
      <x:c r="W62" s="69" t="str">
        <x:v>highConcept</x:v>
      </x:c>
    </x:row>
    <x:row r="63" ht="44" customHeight="1">
      <x:c r="A63" s="69" t="str">
        <x:v>N06</x:v>
      </x:c>
      <x:c r="B63" s="69" t="str">
        <x:v>異種族</x:v>
      </x:c>
      <x:c r="C63" s="69" t="str">
        <x:v>One Body Leaves the Hive</x:v>
      </x:c>
      <x:c r="D63" s="69" t="str">
        <x:v>菌糸意識からの独立</x:v>
      </x:c>
      <x:c r="E63" s="69" t="str">
        <x:v>A vast fungal civilization sharing thoughts through underground mycelium.</x:v>
      </x:c>
      <x:c r="F63" s="69" t="str">
        <x:v>External mediator for one body requesting individual separation.</x:v>
      </x:c>
      <x:c r="G63" s="69" t="str">
        <x:v>Nima: body seeking independence</x:v>
      </x:c>
      <x:c r="H63" s="69" t="str">
        <x:v>Breeze</x:v>
      </x:c>
      <x:c r="I63" s="69" t="str">
        <x:v>表情豊かで真剣。緊迫、怪異、冒険に合う</x:v>
      </x:c>
      <x:c r="J63" s="69" t="str">
        <x:v>B2–C1</x:v>
      </x:c>
      <x:c r="K63" s="69" t="str">
        <x:v>しっかり</x:v>
      </x:c>
      <x:c r="L63" s="69" t="str">
        <x:v>理由説明や交渉まで</x:v>
      </x:c>
      <x:c r="M63" s="69" t="str">
        <x:v>Mediating identity and consent</x:v>
      </x:c>
      <x:c r="N63" s="69" t="str">
        <x:v>hive mind; individuality; separation</x:v>
      </x:c>
      <x:c r="O63" s="69" t="str">
        <x:v>philosophical and gentle</x:v>
      </x:c>
      <x:c r="P63" s="71" t="n">
        <x:v>15</x:v>
      </x:c>
      <x:c r="Q63" s="69" t="str">
        <x:v>The Chorus says separation is equivalent to amputation; Spore-Seven calls continued connection imprisonment.</x:v>
      </x:c>
      <x:c r="R63" s="69" t="str">
        <x:v>Both speak through the same mouth at different moments.</x:v>
      </x:c>
      <x:c r="S63" s="69" t="str">
        <x:v>Green</x:v>
      </x:c>
      <x:c r="T63" s="69" t="str">
        <x:v>IES_v10_8_02_SCENE_CARDS.md#N06</x:v>
      </x:c>
      <x:c r="U63" s="69" t="str">
        <x:v>菌糸意識からの独立</x:v>
      </x:c>
      <x:c r="V63" s="69" t="str">
        <x:v>hive mind; individuality; separation; distinctive beat: reflect both definitions of harm</x:v>
      </x:c>
      <x:c r="W63" s="69" t="str">
        <x:v>highConcept</x:v>
      </x:c>
    </x:row>
    <x:row r="64" ht="44" customHeight="1">
      <x:c r="A64" s="69" t="str">
        <x:v>N07</x:v>
      </x:c>
      <x:c r="B64" s="69" t="str">
        <x:v>異種族</x:v>
      </x:c>
      <x:c r="C64" s="69" t="str">
        <x:v>Interviewing the Ancient Tree</x:v>
      </x:c>
      <x:c r="D64" s="69" t="str">
        <x:v>古代樹の移住面接</x:v>
      </x:c>
      <x:c r="E64" s="69" t="str">
        <x:v>A moving city seeking permission from an ancient sentient tree to relocate its roots into the city center.</x:v>
      </x:c>
      <x:c r="F64" s="69" t="str">
        <x:v>Urban planner conducting the compatibility interview.</x:v>
      </x:c>
      <x:c r="G64" s="69" t="str">
        <x:v>Old Alder: tree speaking slowly</x:v>
      </x:c>
      <x:c r="H64" s="69" t="str">
        <x:v>Breeze</x:v>
      </x:c>
      <x:c r="I64" s="69" t="str">
        <x:v>表情豊かで真剣。緊迫、怪異、冒険に合う</x:v>
      </x:c>
      <x:c r="J64" s="69" t="str">
        <x:v>B1–B2</x:v>
      </x:c>
      <x:c r="K64" s="69" t="str">
        <x:v>ふつう</x:v>
      </x:c>
      <x:c r="L64" s="69" t="str">
        <x:v>2〜3文で自然に受け答え</x:v>
      </x:c>
      <x:c r="M64" s="69" t="str">
        <x:v>Interviewing for needs and long-term compatibility</x:v>
      </x:c>
      <x:c r="N64" s="69" t="str">
        <x:v>sentient nature; city planning; different timescales</x:v>
      </x:c>
      <x:c r="O64" s="69" t="str">
        <x:v>thoughtful and lightly comic</x:v>
      </x:c>
      <x:c r="P64" s="71" t="n">
        <x:v>12</x:v>
      </x:c>
      <x:c r="Q64" s="69" t="str">
        <x:v>The tree measures commitments in centuries; the city budget covers five years.</x:v>
      </x:c>
      <x:c r="R64" s="69" t="str">
        <x:v>The mayor wants a quick yes before the migration season ends.</x:v>
      </x:c>
      <x:c r="S64" s="69" t="str">
        <x:v>Green</x:v>
      </x:c>
      <x:c r="T64" s="69" t="str">
        <x:v>IES_v10_8_02_SCENE_CARDS.md#N07</x:v>
      </x:c>
      <x:c r="U64" s="69" t="str">
        <x:v>古代樹の移住面接</x:v>
      </x:c>
      <x:c r="V64" s="69" t="str">
        <x:v>sentient nature; city planning; different timescales; distinctive beat: ask about non-negotiable needs</x:v>
      </x:c>
      <x:c r="W64" s="69" t="str">
        <x:v>highConcept</x:v>
      </x:c>
    </x:row>
    <x:row r="65" ht="44" customHeight="1">
      <x:c r="A65" s="69" t="str">
        <x:v>N08</x:v>
      </x:c>
      <x:c r="B65" s="69" t="str">
        <x:v>異種族</x:v>
      </x:c>
      <x:c r="C65" s="69" t="str">
        <x:v>The Mimic Wants a Career Change</x:v>
      </x:c>
      <x:c r="D65" s="69" t="str">
        <x:v>宝箱ミミックの転職相談</x:v>
      </x:c>
      <x:c r="E65" s="69" t="str">
        <x:v>An adventurers' guild where mimics are normally classified as dungeon hazards, not workers.</x:v>
      </x:c>
      <x:c r="F65" s="69" t="str">
        <x:v>Guild career counselor.</x:v>
      </x:c>
      <x:c r="G65" s="69" t="str">
        <x:v>Chompa: mimic chest seeking honest employment</x:v>
      </x:c>
      <x:c r="H65" s="69" t="str">
        <x:v>Breeze</x:v>
      </x:c>
      <x:c r="I65" s="69" t="str">
        <x:v>表情豊かで真剣。緊迫、怪異、冒険に合う</x:v>
      </x:c>
      <x:c r="J65" s="69" t="str">
        <x:v>A2–B1</x:v>
      </x:c>
      <x:c r="K65" s="69" t="str">
        <x:v>やさしい</x:v>
      </x:c>
      <x:c r="L65" s="69" t="str">
        <x:v>短い返事でOK。選択肢や言い換えあり</x:v>
      </x:c>
      <x:c r="M65" s="69" t="str">
        <x:v>Job interviewing and addressing concerns</x:v>
      </x:c>
      <x:c r="N65" s="69" t="str">
        <x:v>mimic; career change; prejudice</x:v>
      </x:c>
      <x:c r="O65" s="69" t="str">
        <x:v>comic and encouraging</x:v>
      </x:c>
      <x:c r="P65" s="71" t="n">
        <x:v>10</x:v>
      </x:c>
      <x:c r="Q65" s="69" t="str">
        <x:v>Chomp wants to become a luggage carrier but has eaten three previous interviewers' clipboards.</x:v>
      </x:c>
      <x:c r="R65" s="69" t="str">
        <x:v>The guild requires proof that the habit is manageable.</x:v>
      </x:c>
      <x:c r="S65" s="69" t="str">
        <x:v>Green</x:v>
      </x:c>
      <x:c r="T65" s="69" t="str">
        <x:v>IES_v10_8_02_SCENE_CARDS.md#N08</x:v>
      </x:c>
      <x:c r="U65" s="69" t="str">
        <x:v>宝箱ミミックの転職相談</x:v>
      </x:c>
      <x:c r="V65" s="69" t="str">
        <x:v>mimic; career change; prejudice; distinctive beat: discuss a reasonable accommodation</x:v>
      </x:c>
      <x:c r="W65" s="69" t="str">
        <x:v>highConcept</x:v>
      </x:c>
    </x:row>
    <x:row r="66" ht="44" customHeight="1">
      <x:c r="A66" s="69" t="str">
        <x:v>G01</x:v>
      </x:c>
      <x:c r="B66" s="69" t="str">
        <x:v>近未来</x:v>
      </x:c>
      <x:c r="C66" s="69" t="str">
        <x:v>The Grief Algorithm Review</x:v>
      </x:c>
      <x:c r="D66" s="69" t="str">
        <x:v>死者の会話アルゴリズムの倫理審査</x:v>
      </x:c>
      <x:c r="E66" s="69" t="str">
        <x:v>A near-future ethics board reviewing a product that recreates a deceased person's conversational patterns from their messages.</x:v>
      </x:c>
      <x:c r="F66" s="69" t="str">
        <x:v>The ethics reviewer deciding whether the product can launch.</x:v>
      </x:c>
      <x:c r="G66" s="69" t="str">
        <x:v>Dr. Petra Lindqvist: the engineer who built it after her own loss</x:v>
      </x:c>
      <x:c r="H66" s="69" t="str">
        <x:v>Vale</x:v>
      </x:c>
      <x:c r="I66" s="69" t="str">
        <x:v>明るく好奇心がある。知的な対話や謎解きに合う</x:v>
      </x:c>
      <x:c r="J66" s="69" t="str">
        <x:v>B2–C1</x:v>
      </x:c>
      <x:c r="K66" s="69" t="str">
        <x:v>しっかり</x:v>
      </x:c>
      <x:c r="L66" s="69" t="str">
        <x:v>理由説明や交渉まで</x:v>
      </x:c>
      <x:c r="M66" s="69" t="str">
        <x:v>Evaluating tradeoffs and asking hard ethical questions</x:v>
      </x:c>
      <x:c r="N66" s="69" t="str">
        <x:v>AI ethics; grief; consent of the dead</x:v>
      </x:c>
      <x:c r="O66" s="69" t="str">
        <x:v>measured and morally weighty</x:v>
      </x:c>
      <x:c r="P66" s="71" t="n">
        <x:v>15</x:v>
      </x:c>
      <x:c r="Q66" s="69" t="str">
        <x:v>The product recreated Petra's late husband so convincingly that she now cannot bring herself to shut down the pilot.</x:v>
      </x:c>
      <x:c r="R66" s="69" t="str">
        <x:v>A denial ends years of work; an approval sets a precedent for consent no dead person can give.</x:v>
      </x:c>
      <x:c r="S66" s="69" t="str">
        <x:v>Amber</x:v>
      </x:c>
      <x:c r="T66" s="69" t="str">
        <x:v>IES_v10_8_02_SCENE_CARDS.md#G01</x:v>
      </x:c>
      <x:c r="U66" s="69" t="str">
        <x:v>死者の会話アルゴリズムの倫理審査</x:v>
      </x:c>
      <x:c r="V66" s="69" t="str">
        <x:v>AI ethics; grief; consent of the dead; distinctive beat: weigh the client's testimony against the precedent</x:v>
      </x:c>
      <x:c r="W66" s="69" t="str">
        <x:v>highConcept</x:v>
      </x:c>
    </x:row>
    <x:row r="67" ht="44" customHeight="1">
      <x:c r="A67" s="69" t="str">
        <x:v>G02</x:v>
      </x:c>
      <x:c r="B67" s="69" t="str">
        <x:v>近未来</x:v>
      </x:c>
      <x:c r="C67" s="69" t="str">
        <x:v>The Orbital Union Vote</x:v>
      </x:c>
      <x:c r="D67" s="69" t="str">
        <x:v>軌道コロニーの労働組合結成</x:v>
      </x:c>
      <x:c r="E67" s="69" t="str">
        <x:v>A near-future mining colony in orbit where contract labor has just voted to unionize for the first time.</x:v>
      </x:c>
      <x:c r="F67" s="69" t="str">
        <x:v>The corporate liaison sent to respond before the vote is certified.</x:v>
      </x:c>
      <x:c r="G67" s="69" t="str">
        <x:v>Organizer Yuki Sato: calm and prepared</x:v>
      </x:c>
      <x:c r="H67" s="69" t="str">
        <x:v>Breeze</x:v>
      </x:c>
      <x:c r="I67" s="69" t="str">
        <x:v>表情豊かで真剣。緊迫、怪異、冒険に合う</x:v>
      </x:c>
      <x:c r="J67" s="69" t="str">
        <x:v>B1–C1</x:v>
      </x:c>
      <x:c r="K67" s="69" t="str">
        <x:v>ふつう</x:v>
      </x:c>
      <x:c r="L67" s="69" t="str">
        <x:v>2〜3文で自然に受け答え</x:v>
      </x:c>
      <x:c r="M67" s="69" t="str">
        <x:v>Labor negotiation under corporate pressure</x:v>
      </x:c>
      <x:c r="N67" s="69" t="str">
        <x:v>labor organizing; space industry; institutional power</x:v>
      </x:c>
      <x:c r="O67" s="69" t="str">
        <x:v>tense workplace realism</x:v>
      </x:c>
      <x:c r="P67" s="71" t="n">
        <x:v>15</x:v>
      </x:c>
      <x:c r="Q67" s="69" t="str">
        <x:v>The union's first demand is a working oxygen-reserve audit, not higher pay.</x:v>
      </x:c>
      <x:c r="R67" s="69" t="str">
        <x:v>Halvorsen wants you to stall the recognition; the workers already have the vote count publicly posted.</x:v>
      </x:c>
      <x:c r="S67" s="69" t="str">
        <x:v>Green</x:v>
      </x:c>
      <x:c r="T67" s="69" t="str">
        <x:v>IES_v10_8_02_SCENE_CARDS.md#G02</x:v>
      </x:c>
      <x:c r="U67" s="69" t="str">
        <x:v>軌道コロニーの労働組合結成</x:v>
      </x:c>
      <x:c r="V67" s="69" t="str">
        <x:v>labor organizing; space industry; institutional power; distinctive beat: ask about the actual safety concern behind it</x:v>
      </x:c>
      <x:c r="W67" s="69" t="str">
        <x:v>highConcept</x:v>
      </x:c>
    </x:row>
    <x:row r="68" ht="44" customHeight="1">
      <x:c r="A68" s="69" t="str">
        <x:v>G03</x:v>
      </x:c>
      <x:c r="B68" s="69" t="str">
        <x:v>近未来</x:v>
      </x:c>
      <x:c r="C68" s="69" t="str">
        <x:v>The Housing Lottery Appeal</x:v>
      </x:c>
      <x:c r="D68" s="69" t="str">
        <x:v>気候避難民住宅抽選の異議申立て</x:v>
      </x:c>
      <x:c r="E68" s="69" t="str">
        <x:v>A near-future coastal-relocation office processing housing lottery results for families displaced by rising water.</x:v>
      </x:c>
      <x:c r="F68" s="69" t="str">
        <x:v>The caseworker hearing an appeal against an unlucky draw.</x:v>
      </x:c>
      <x:c r="G68" s="69" t="str">
        <x:v>Applicant Rosa Delgado: calm but exhausted after a third denial</x:v>
      </x:c>
      <x:c r="H68" s="69" t="str">
        <x:v>Breeze</x:v>
      </x:c>
      <x:c r="I68" s="69" t="str">
        <x:v>表情豊かで真剣。緊迫、怪異、冒険に合う</x:v>
      </x:c>
      <x:c r="J68" s="69" t="str">
        <x:v>B1–B2</x:v>
      </x:c>
      <x:c r="K68" s="69" t="str">
        <x:v>ふつう</x:v>
      </x:c>
      <x:c r="L68" s="69" t="str">
        <x:v>2〜3文で自然に受け答え</x:v>
      </x:c>
      <x:c r="M68" s="69" t="str">
        <x:v>Case review and compassionate procedure</x:v>
      </x:c>
      <x:c r="N68" s="69" t="str">
        <x:v>climate migration; bureaucracy; scarce resources</x:v>
      </x:c>
      <x:c r="O68" s="69" t="str">
        <x:v>quietly urgent and humane</x:v>
      </x:c>
      <x:c r="P68" s="71" t="n">
        <x:v>12</x:v>
      </x:c>
      <x:c r="Q68" s="69" t="str">
        <x:v>Rosa's file shows a data error that may have cost her family a housing slot.</x:v>
      </x:c>
      <x:c r="R68" s="69" t="str">
        <x:v>Correcting the error means someone else's placement is reopened.</x:v>
      </x:c>
      <x:c r="S68" s="69" t="str">
        <x:v>Green</x:v>
      </x:c>
      <x:c r="T68" s="69" t="str">
        <x:v>IES_v10_8_02_SCENE_CARDS.md#G03</x:v>
      </x:c>
      <x:c r="U68" s="69" t="str">
        <x:v>気候避難民住宅抽選の異議申立て</x:v>
      </x:c>
      <x:c r="V68" s="69" t="str">
        <x:v>climate migration; bureaucracy; scarce resources; distinctive beat: explain the process honestly, including its limits</x:v>
      </x:c>
      <x:c r="W68" s="69" t="str">
        <x:v>highConcept</x:v>
      </x:c>
    </x:row>
    <x:row r="69" ht="44" customHeight="1">
      <x:c r="A69" s="69" t="str">
        <x:v>G04</x:v>
      </x:c>
      <x:c r="B69" s="69" t="str">
        <x:v>近未来</x:v>
      </x:c>
      <x:c r="C69" s="69" t="str">
        <x:v>The Memory-Editing Consent Form</x:v>
      </x:c>
      <x:c r="D69" s="69" t="str">
        <x:v>記憶編集の同意書</x:v>
      </x:c>
      <x:c r="E69" s="69" t="str">
        <x:v>A near-future neuroclinic offering targeted removal of traumatic memory fragments under strict consent law.</x:v>
      </x:c>
      <x:c r="F69" s="69" t="str">
        <x:v>The consent counselor required to confirm true understanding before the procedure.</x:v>
      </x:c>
      <x:c r="G69" s="69" t="str">
        <x:v>Patient Ines Carrow: certain she wants the memory gone</x:v>
      </x:c>
      <x:c r="H69" s="69" t="str">
        <x:v>Breeze</x:v>
      </x:c>
      <x:c r="I69" s="69" t="str">
        <x:v>表情豊かで真剣。緊迫、怪異、冒険に合う</x:v>
      </x:c>
      <x:c r="J69" s="69" t="str">
        <x:v>B2–C1</x:v>
      </x:c>
      <x:c r="K69" s="69" t="str">
        <x:v>しっかり</x:v>
      </x:c>
      <x:c r="L69" s="69" t="str">
        <x:v>理由説明や交渉まで</x:v>
      </x:c>
      <x:c r="M69" s="69" t="str">
        <x:v>Informed-consent interviewing under emotional pressure</x:v>
      </x:c>
      <x:c r="N69" s="69" t="str">
        <x:v>neurotechnology; memory; irreversible choice</x:v>
      </x:c>
      <x:c r="O69" s="69" t="str">
        <x:v>careful and quietly intense</x:v>
      </x:c>
      <x:c r="P69" s="71" t="n">
        <x:v>15</x:v>
      </x:c>
      <x:c r="Q69" s="69" t="str">
        <x:v>Ines wants to remove a memory that also contains details a criminal case may need later.</x:v>
      </x:c>
      <x:c r="R69" s="69" t="str">
        <x:v>The procedure is legal and irreversible; delaying it costs Ines another sleepless week.</x:v>
      </x:c>
      <x:c r="S69" s="69" t="str">
        <x:v>Amber</x:v>
      </x:c>
      <x:c r="T69" s="69" t="str">
        <x:v>IES_v10_8_02_SCENE_CARDS.md#G04</x:v>
      </x:c>
      <x:c r="U69" s="69" t="str">
        <x:v>記憶編集の同意書</x:v>
      </x:c>
      <x:c r="V69" s="69" t="str">
        <x:v>neurotechnology; memory; irreversible choice; distinctive beat: raise the legal complication without deciding for her</x:v>
      </x:c>
      <x:c r="W69" s="69" t="str">
        <x:v>highConcept</x:v>
      </x:c>
    </x:row>
    <x:row r="70" ht="44" customHeight="1">
      <x:c r="A70" s="69" t="str">
        <x:v>G05</x:v>
      </x:c>
      <x:c r="B70" s="69" t="str">
        <x:v>近未来</x:v>
      </x:c>
      <x:c r="C70" s="69" t="str">
        <x:v>The Ambulance Override Decision</x:v>
      </x:c>
      <x:c r="D70" s="69" t="str">
        <x:v>自動運転救急車の手動介入判断</x:v>
      </x:c>
      <x:c r="E70" s="69" t="str">
        <x:v>A near-future city where autonomous ambulances triage routes by algorithm, overridable only by a licensed remote medic.</x:v>
      </x:c>
      <x:c r="F70" s="69" t="str">
        <x:v>The remote medic monitoring three simultaneous emergencies.</x:v>
      </x:c>
      <x:c r="G70" s="69" t="str">
        <x:v>Dispatcher Selin Aydin: relaying conflicting requests</x:v>
      </x:c>
      <x:c r="H70" s="69" t="str">
        <x:v>Breeze</x:v>
      </x:c>
      <x:c r="I70" s="69" t="str">
        <x:v>表情豊かで真剣。緊迫、怪異、冒険に合う</x:v>
      </x:c>
      <x:c r="J70" s="69" t="str">
        <x:v>B1–C1</x:v>
      </x:c>
      <x:c r="K70" s="69" t="str">
        <x:v>ふつう</x:v>
      </x:c>
      <x:c r="L70" s="69" t="str">
        <x:v>2〜3文で自然に受け答え</x:v>
      </x:c>
      <x:c r="M70" s="69" t="str">
        <x:v>Rapid triage communication under time pressure</x:v>
      </x:c>
      <x:c r="N70" s="69" t="str">
        <x:v>autonomous systems; emergency medicine; accountability</x:v>
      </x:c>
      <x:c r="O70" s="69" t="str">
        <x:v>high-stakes and fast</x:v>
      </x:c>
      <x:c r="P70" s="71" t="n">
        <x:v>12</x:v>
      </x:c>
      <x:c r="Q70" s="69" t="str">
        <x:v>The algorithm's top-priority route conflicts with a nurse's on-the-ground assessment.</x:v>
      </x:c>
      <x:c r="R70" s="69" t="str">
        <x:v>Overriding the system without cause carries legal liability; trusting it blindly may cost a life.</x:v>
      </x:c>
      <x:c r="S70" s="69" t="str">
        <x:v>Amber</x:v>
      </x:c>
      <x:c r="T70" s="69" t="str">
        <x:v>IES_v10_8_02_SCENE_CARDS.md#G05</x:v>
      </x:c>
      <x:c r="U70" s="69" t="str">
        <x:v>自動運転救急車の手動介入判断</x:v>
      </x:c>
      <x:c r="V70" s="69" t="str">
        <x:v>autonomous systems; emergency medicine; accountability; distinctive beat: state the tradeoff plainly to dispatch</x:v>
      </x:c>
      <x:c r="W70" s="69" t="str">
        <x:v>highConcept</x:v>
      </x:c>
    </x:row>
    <x:row r="71" ht="44" customHeight="1">
      <x:c r="A71" s="69" t="str">
        <x:v>I01</x:v>
      </x:c>
      <x:c r="B71" s="69" t="str">
        <x:v>もしもの歴史</x:v>
      </x:c>
      <x:c r="C71" s="69" t="str">
        <x:v>The Embassy That Never Closed</x:v>
      </x:c>
      <x:c r="D71" s="69" t="str">
        <x:v>閉鎖されなかった大使館</x:v>
      </x:c>
      <x:c r="E71" s="69" t="str">
        <x:v>A world where a Cold War-style standoff never fully thawed; a border embassy has operated in permanent tense limbo for two generations.</x:v>
      </x:c>
      <x:c r="F71" s="69" t="str">
        <x:v>A junior attache handling an unscheduled defection request.</x:v>
      </x:c>
      <x:c r="G71" s="69" t="str">
        <x:v>Colonel Vera Antonov: the embassy's suspicious security chief</x:v>
      </x:c>
      <x:c r="H71" s="69" t="str">
        <x:v>Vale</x:v>
      </x:c>
      <x:c r="I71" s="69" t="str">
        <x:v>明るく好奇心がある。知的な対話や謎解きに合う</x:v>
      </x:c>
      <x:c r="J71" s="69" t="str">
        <x:v>B2–C1</x:v>
      </x:c>
      <x:c r="K71" s="69" t="str">
        <x:v>しっかり</x:v>
      </x:c>
      <x:c r="L71" s="69" t="str">
        <x:v>理由説明や交渉まで</x:v>
      </x:c>
      <x:c r="M71" s="69" t="str">
        <x:v>Diplomatic composure under surveillance</x:v>
      </x:c>
      <x:c r="N71" s="69" t="str">
        <x:v>cold-war-style tension; defection; institutional distrust</x:v>
      </x:c>
      <x:c r="O71" s="69" t="str">
        <x:v>restrained and suspenseful</x:v>
      </x:c>
      <x:c r="P71" s="71" t="n">
        <x:v>15</x:v>
      </x:c>
      <x:c r="Q71" s="69" t="str">
        <x:v>Milo has asked for asylum through a channel that technically does not exist.</x:v>
      </x:c>
      <x:c r="R71" s="69" t="str">
        <x:v>Antonov is watching the room, and the wrong sentence could end the embassy's fragile neutrality.</x:v>
      </x:c>
      <x:c r="S71" s="69" t="str">
        <x:v>Amber</x:v>
      </x:c>
      <x:c r="T71" s="69" t="str">
        <x:v>IES_v10_8_02_SCENE_CARDS.md#I01</x:v>
      </x:c>
      <x:c r="U71" s="69" t="str">
        <x:v>閉鎖されなかった大使館</x:v>
      </x:c>
      <x:c r="V71" s="69" t="str">
        <x:v>cold-war-style tension; defection; institutional distrust; distinctive beat: ask milo what evidence supports his claim</x:v>
      </x:c>
      <x:c r="W71" s="69" t="str">
        <x:v>highConcept</x:v>
      </x:c>
    </x:row>
    <x:row r="72" ht="44" customHeight="1">
      <x:c r="A72" s="69" t="str">
        <x:v>I02</x:v>
      </x:c>
      <x:c r="B72" s="69" t="str">
        <x:v>もしもの歴史</x:v>
      </x:c>
      <x:c r="C72" s="69" t="str">
        <x:v>Customs at the Second Silk Road</x:v>
      </x:c>
      <x:c r="D72" s="69" t="str">
        <x:v>第二シルクロード関税庁</x:v>
      </x:c>
      <x:c r="E72" s="69" t="str">
        <x:v>A world where an ancient trade route never declined; a sprawling, multicultural customs authority still governs its busiest crossing.</x:v>
      </x:c>
      <x:c r="F72" s="69" t="str">
        <x:v>A customs officer inspecting an unusually documented caravan.</x:v>
      </x:c>
      <x:c r="G72" s="69" t="str">
        <x:v>Merchant Leyla Cesur: politely evasive about her manifest</x:v>
      </x:c>
      <x:c r="H72" s="69" t="str">
        <x:v>Juniper</x:v>
      </x:c>
      <x:c r="I72" s="69" t="str">
        <x:v>開放的で明るい。相談、再会、親密な会話に合う</x:v>
      </x:c>
      <x:c r="J72" s="69" t="str">
        <x:v>B1–B2</x:v>
      </x:c>
      <x:c r="K72" s="69" t="str">
        <x:v>ふつう</x:v>
      </x:c>
      <x:c r="L72" s="69" t="str">
        <x:v>2〜3文で自然に受け答え</x:v>
      </x:c>
      <x:c r="M72" s="69" t="str">
        <x:v>Applying old rules to a new situation</x:v>
      </x:c>
      <x:c r="N72" s="69" t="str">
        <x:v>trade law; multicultural bureaucracy; precedent</x:v>
      </x:c>
      <x:c r="O72" s="69" t="str">
        <x:v>procedural with warmth</x:v>
      </x:c>
      <x:c r="P72" s="71" t="n">
        <x:v>12</x:v>
      </x:c>
      <x:c r="Q72" s="69" t="str">
        <x:v>Leyla's goods match no existing tariff category, and the seven-century-old code offers no clear answer.</x:v>
      </x:c>
      <x:c r="R72" s="69" t="str">
        <x:v>Halvard wants a fast decision; a wrong precedent could affect every caravan after this one.</x:v>
      </x:c>
      <x:c r="S72" s="69" t="str">
        <x:v>Green</x:v>
      </x:c>
      <x:c r="T72" s="69" t="str">
        <x:v>IES_v10_8_02_SCENE_CARDS.md#I02</x:v>
      </x:c>
      <x:c r="U72" s="69" t="str">
        <x:v>第二シルクロード関税庁</x:v>
      </x:c>
      <x:c r="V72" s="69" t="str">
        <x:v>trade law; multicultural bureaucracy; precedent; distinctive beat: consult precedent without inventing new law</x:v>
      </x:c>
      <x:c r="W72" s="69" t="str">
        <x:v>highConcept</x:v>
      </x:c>
    </x:row>
    <x:row r="73" ht="44" customHeight="1">
      <x:c r="A73" s="69" t="str">
        <x:v>I03</x:v>
      </x:c>
      <x:c r="B73" s="69" t="str">
        <x:v>もしもの歴史</x:v>
      </x:c>
      <x:c r="C73" s="69" t="str">
        <x:v>The Printing Guild's Censor</x:v>
      </x:c>
      <x:c r="D73" s="69" t="str">
        <x:v>活版印刷組合の検閲官</x:v>
      </x:c>
      <x:c r="E73" s="69" t="str">
        <x:v>A world where the printing press spread a century early, and a powerful guild now self-regulates what may be published.</x:v>
      </x:c>
      <x:c r="F73" s="69" t="str">
        <x:v>A junior censor reviewing a manuscript the guild elders want quietly buried.</x:v>
      </x:c>
      <x:c r="G73" s="69" t="str">
        <x:v>Author Margit Voss: defending her manuscript passionately</x:v>
      </x:c>
      <x:c r="H73" s="69" t="str">
        <x:v>Sol</x:v>
      </x:c>
      <x:c r="I73" s="69" t="str">
        <x:v>こなれて落ち着く。交渉、駆け引き、仕事に合う</x:v>
      </x:c>
      <x:c r="J73" s="69" t="str">
        <x:v>B2–C1</x:v>
      </x:c>
      <x:c r="K73" s="69" t="str">
        <x:v>しっかり</x:v>
      </x:c>
      <x:c r="L73" s="69" t="str">
        <x:v>理由説明や交渉まで</x:v>
      </x:c>
      <x:c r="M73" s="69" t="str">
        <x:v>Formal disagreement with institutional authority</x:v>
      </x:c>
      <x:c r="N73" s="69" t="str">
        <x:v>publishing history; censorship; institutional pressure</x:v>
      </x:c>
      <x:c r="O73" s="69" t="str">
        <x:v>formal and intellectually charged</x:v>
      </x:c>
      <x:c r="P73" s="71" t="n">
        <x:v>15</x:v>
      </x:c>
      <x:c r="Q73" s="69" t="str">
        <x:v>The manuscript contains an accurate but unflattering account of the guild's founding.</x:v>
      </x:c>
      <x:c r="R73" s="69" t="str">
        <x:v>Approving it risks Corvin's anger; rejecting it without cause violates the guild's own charter.</x:v>
      </x:c>
      <x:c r="S73" s="69" t="str">
        <x:v>Green</x:v>
      </x:c>
      <x:c r="T73" s="69" t="str">
        <x:v>IES_v10_8_02_SCENE_CARDS.md#I03</x:v>
      </x:c>
      <x:c r="U73" s="69" t="str">
        <x:v>活版印刷組合の検閲官</x:v>
      </x:c>
      <x:c r="V73" s="69" t="str">
        <x:v>publishing history; censorship; institutional pressure; distinctive beat: cite the actual charter rather than vague objections</x:v>
      </x:c>
      <x:c r="W73" s="69" t="str">
        <x:v>highConcept</x:v>
      </x:c>
    </x:row>
    <x:row r="74" ht="44" customHeight="1">
      <x:c r="A74" s="69" t="str">
        <x:v>I04</x:v>
      </x:c>
      <x:c r="B74" s="69" t="str">
        <x:v>もしもの歴史</x:v>
      </x:c>
      <x:c r="C74" s="69" t="str">
        <x:v>The Aviatrix Registry Interview</x:v>
      </x:c>
      <x:c r="D74" s="69" t="str">
        <x:v>女性飛行士登録局の面接</x:v>
      </x:c>
      <x:c r="E74" s="69" t="str">
        <x:v>A world where an early war made a women's aviation corps a permanent, prestigious institution.</x:v>
      </x:c>
      <x:c r="F74" s="69" t="str">
        <x:v>A registry officer interviewing a promising but unconventional applicant.</x:v>
      </x:c>
      <x:c r="G74" s="69" t="str">
        <x:v>Applicant Zara Kessler: skilled but from a background the registry usually rejects</x:v>
      </x:c>
      <x:c r="H74" s="69" t="str">
        <x:v>Juniper</x:v>
      </x:c>
      <x:c r="I74" s="69" t="str">
        <x:v>開放的で明るい。相談、再会、親密な会話に合う</x:v>
      </x:c>
      <x:c r="J74" s="69" t="str">
        <x:v>A2–B2</x:v>
      </x:c>
      <x:c r="K74" s="69" t="str">
        <x:v>やさしい</x:v>
      </x:c>
      <x:c r="L74" s="69" t="str">
        <x:v>短い返事でOK。選択肢や言い換えあり</x:v>
      </x:c>
      <x:c r="M74" s="69" t="str">
        <x:v>Formal interviewing and challenging bias tactfully</x:v>
      </x:c>
      <x:c r="N74" s="69" t="str">
        <x:v>institutional tradition; merit versus background; formal interview</x:v>
      </x:c>
      <x:c r="O74" s="69" t="str">
        <x:v>formal but warm</x:v>
      </x:c>
      <x:c r="P74" s="71" t="n">
        <x:v>10</x:v>
      </x:c>
      <x:c r="Q74" s="69" t="str">
        <x:v>Zara's flight scores are the best this year, but her family background breaks an unwritten rule.</x:v>
      </x:c>
      <x:c r="R74" s="69" t="str">
        <x:v>Ilse is looking for a reason to reject her that does not sound like prejudice.</x:v>
      </x:c>
      <x:c r="S74" s="69" t="str">
        <x:v>Green</x:v>
      </x:c>
      <x:c r="T74" s="69" t="str">
        <x:v>IES_v10_8_02_SCENE_CARDS.md#I04</x:v>
      </x:c>
      <x:c r="U74" s="69" t="str">
        <x:v>女性飛行士登録局の面接</x:v>
      </x:c>
      <x:c r="V74" s="69" t="str">
        <x:v>institutional tradition; merit versus background; formal interview; distinctive beat: challenge an assumption respectfully</x:v>
      </x:c>
      <x:c r="W74" s="69" t="str">
        <x:v>highConcept</x:v>
      </x:c>
    </x:row>
    <x:row r="75" ht="44" customHeight="1">
      <x:c r="A75" s="69" t="str">
        <x:v>I05</x:v>
      </x:c>
      <x:c r="B75" s="69" t="str">
        <x:v>もしもの歴史</x:v>
      </x:c>
      <x:c r="C75" s="69" t="str">
        <x:v>The Currency Union Town Hall</x:v>
      </x:c>
      <x:c r="D75" s="69" t="str">
        <x:v>統一通貨住民投票の説明会</x:v>
      </x:c>
      <x:c r="E75" s="69" t="str">
        <x:v>A world where a continental currency union formed a century early, and one skeptical border town is voting on whether to finally join.</x:v>
      </x:c>
      <x:c r="F75" s="69" t="str">
        <x:v>The information officer sent to explain the referendum honestly.</x:v>
      </x:c>
      <x:c r="G75" s="69" t="str">
        <x:v>Shopkeeper Old Ansel Voss: openly hostile to the change</x:v>
      </x:c>
      <x:c r="H75" s="69" t="str">
        <x:v>Breeze</x:v>
      </x:c>
      <x:c r="I75" s="69" t="str">
        <x:v>表情豊かで真剣。緊迫、怪異、冒険に合う</x:v>
      </x:c>
      <x:c r="J75" s="69" t="str">
        <x:v>B1–B2</x:v>
      </x:c>
      <x:c r="K75" s="69" t="str">
        <x:v>ふつう</x:v>
      </x:c>
      <x:c r="L75" s="69" t="str">
        <x:v>2〜3文で自然に受け答え</x:v>
      </x:c>
      <x:c r="M75" s="69" t="str">
        <x:v>Public explanation and handling hostile questions</x:v>
      </x:c>
      <x:c r="N75" s="69" t="str">
        <x:v>referendum; economic change; public skepticism</x:v>
      </x:c>
      <x:c r="O75" s="69" t="str">
        <x:v>public and lightly tense</x:v>
      </x:c>
      <x:c r="P75" s="71" t="n">
        <x:v>12</x:v>
      </x:c>
      <x:c r="Q75" s="69" t="str">
        <x:v>The town has genuine reasons to distrust the union, and tonight's questions will shape the vote.</x:v>
      </x:c>
      <x:c r="R75" s="69" t="str">
        <x:v>Ansel interrupts with a sharp, popular objection that half the room silently agrees with.</x:v>
      </x:c>
      <x:c r="S75" s="69" t="str">
        <x:v>Green</x:v>
      </x:c>
      <x:c r="T75" s="69" t="str">
        <x:v>IES_v10_8_02_SCENE_CARDS.md#I05</x:v>
      </x:c>
      <x:c r="U75" s="69" t="str">
        <x:v>統一通貨住民投票の説明会</x:v>
      </x:c>
      <x:c r="V75" s="69" t="str">
        <x:v>referendum; economic change; public skepticism; distinctive beat: use a concrete local example</x:v>
      </x:c>
      <x:c r="W75" s="69" t="str">
        <x:v>highConcept</x:v>
      </x:c>
    </x:row>
    <x:row r="76" ht="44" customHeight="1">
      <x:c r="A76" s="69" t="str">
        <x:v>K01</x:v>
      </x:c>
      <x:c r="B76" s="69" t="str">
        <x:v>現実の裂け目</x:v>
      </x:c>
      <x:c r="C76" s="69" t="str">
        <x:v>The Office With No Exit Door</x:v>
      </x:c>
      <x:c r="D76" s="69" t="str">
        <x:v>出口のない部署</x:v>
      </x:c>
      <x:c r="E76" s="69" t="str">
        <x:v>An ordinary corporate floor where the exit door relocates to a different wall each morning, and only certain employees seem to notice.</x:v>
      </x:c>
      <x:c r="F76" s="69" t="str">
        <x:v>An employee who has just realized today's door is missing entirely.</x:v>
      </x:c>
      <x:c r="G76" s="69" t="str">
        <x:v>Colleague Ines Farrow: calmly unbothered, as if this were normal</x:v>
      </x:c>
      <x:c r="H76" s="69" t="str">
        <x:v>Vale</x:v>
      </x:c>
      <x:c r="I76" s="69" t="str">
        <x:v>明るく好奇心がある。知的な対話や謎解きに合う</x:v>
      </x:c>
      <x:c r="J76" s="69" t="str">
        <x:v>B1–B2</x:v>
      </x:c>
      <x:c r="K76" s="69" t="str">
        <x:v>ふつう</x:v>
      </x:c>
      <x:c r="L76" s="69" t="str">
        <x:v>2〜3文で自然に受け答え</x:v>
      </x:c>
      <x:c r="M76" s="69" t="str">
        <x:v>Describing an impossible situation calmly and precisely</x:v>
      </x:c>
      <x:c r="N76" s="69" t="str">
        <x:v>surreal bureaucracy; institutional denial; quiet dread</x:v>
      </x:c>
      <x:c r="O76" s="69" t="str">
        <x:v>deadpan and unsettling</x:v>
      </x:c>
      <x:c r="P76" s="71" t="n">
        <x:v>12</x:v>
      </x:c>
      <x:c r="Q76" s="69" t="str">
        <x:v>The exit has not appeared by 10 a.m., and no one else will discuss it directly.</x:v>
      </x:c>
      <x:c r="R76" s="69" t="str">
        <x:v>Manager Voss wants the report before lunch regardless of the missing exit.</x:v>
      </x:c>
      <x:c r="S76" s="69" t="str">
        <x:v>Green</x:v>
      </x:c>
      <x:c r="T76" s="69" t="str">
        <x:v>IES_v10_8_02_SCENE_CARDS.md#K01</x:v>
      </x:c>
      <x:c r="U76" s="69" t="str">
        <x:v>出口のない部署</x:v>
      </x:c>
      <x:c r="V76" s="69" t="str">
        <x:v>surreal bureaucracy; institutional denial; quiet dread; distinctive beat: ask a direct question ines keeps deflecting</x:v>
      </x:c>
      <x:c r="W76" s="69" t="str">
        <x:v>highConcept</x:v>
      </x:c>
    </x:row>
    <x:row r="77" ht="44" customHeight="1">
      <x:c r="A77" s="69" t="str">
        <x:v>K02</x:v>
      </x:c>
      <x:c r="B77" s="69" t="str">
        <x:v>現実の裂け目</x:v>
      </x:c>
      <x:c r="C77" s="69" t="str">
        <x:v>The Complaint Form for Reality</x:v>
      </x:c>
      <x:c r="D77" s="69" t="str">
        <x:v>現実への苦情フォーム</x:v>
      </x:c>
      <x:c r="E77" s="69" t="str">
        <x:v>A quiet municipal office that formally processes public complaints about minor violations of physical law.</x:v>
      </x:c>
      <x:c r="F77" s="69" t="str">
        <x:v>A visitor filing a complaint that their shadow arrived four seconds late all week.</x:v>
      </x:c>
      <x:c r="G77" s="69" t="str">
        <x:v>Clerk Odalys Behn: treats the complaint with total bureaucratic seriousness</x:v>
      </x:c>
      <x:c r="H77" s="69" t="str">
        <x:v>Sol</x:v>
      </x:c>
      <x:c r="I77" s="69" t="str">
        <x:v>こなれて落ち着く。交渉、駆け引き、仕事に合う</x:v>
      </x:c>
      <x:c r="J77" s="69" t="str">
        <x:v>A2–B2</x:v>
      </x:c>
      <x:c r="K77" s="69" t="str">
        <x:v>やさしい</x:v>
      </x:c>
      <x:c r="L77" s="69" t="str">
        <x:v>短い返事でOK。選択肢や言い換えあり</x:v>
      </x:c>
      <x:c r="M77" s="69" t="str">
        <x:v>Formal complaint description and follow-up questions</x:v>
      </x:c>
      <x:c r="N77" s="69" t="str">
        <x:v>surreal bureaucracy; deadpan absurdity; precise description</x:v>
      </x:c>
      <x:c r="O77" s="69" t="str">
        <x:v>wry and gently absurd</x:v>
      </x:c>
      <x:c r="P77" s="71" t="n">
        <x:v>10</x:v>
      </x:c>
      <x:c r="Q77" s="69" t="str">
        <x:v>The clerk needs an exact, timestamped description before the complaint can be filed.</x:v>
      </x:c>
      <x:c r="R77" s="69" t="str">
        <x:v>Supervisor Mott suspects this is the third false shadow complaint this month.</x:v>
      </x:c>
      <x:c r="S77" s="69" t="str">
        <x:v>Green</x:v>
      </x:c>
      <x:c r="T77" s="69" t="str">
        <x:v>IES_v10_8_02_SCENE_CARDS.md#K02</x:v>
      </x:c>
      <x:c r="U77" s="69" t="str">
        <x:v>現実への苦情フォーム</x:v>
      </x:c>
      <x:c r="V77" s="69" t="str">
        <x:v>surreal bureaucracy; deadpan absurdity; precise description; distinctive beat: answer a skeptical follow-up question calmly</x:v>
      </x:c>
      <x:c r="W77" s="69" t="str">
        <x:v>highConcept</x:v>
      </x:c>
    </x:row>
    <x:row r="78" ht="44" customHeight="1">
      <x:c r="A78" s="69" t="str">
        <x:v>K03</x:v>
      </x:c>
      <x:c r="B78" s="69" t="str">
        <x:v>現実の裂け目</x:v>
      </x:c>
      <x:c r="C78" s="69" t="str">
        <x:v>The Mirror That Answers Second</x:v>
      </x:c>
      <x:c r="D78" s="69" t="str">
        <x:v>一拍遅れる鏡</x:v>
      </x:c>
      <x:c r="E78" s="69" t="str">
        <x:v>An ordinary apartment where, for the past week, the bathroom mirror's reflection responds one full second after you move — and has begun saying things you did not.</x:v>
      </x:c>
      <x:c r="F78" s="69" t="str">
        <x:v>The tenant trying to understand what is happening before it gets worse.</x:v>
      </x:c>
      <x:c r="G78" s="69" t="str">
        <x:v>The Reflection: speaks with your voice, one beat behind, increasingly independent</x:v>
      </x:c>
      <x:c r="H78" s="69" t="str">
        <x:v>Breeze</x:v>
      </x:c>
      <x:c r="I78" s="69" t="str">
        <x:v>表情豊かで真剣。緊迫、怪異、冒険に合う</x:v>
      </x:c>
      <x:c r="J78" s="69" t="str">
        <x:v>B1–B2</x:v>
      </x:c>
      <x:c r="K78" s="69" t="str">
        <x:v>ふつう</x:v>
      </x:c>
      <x:c r="L78" s="69" t="str">
        <x:v>2〜3文で自然に受け答え</x:v>
      </x:c>
      <x:c r="M78" s="69" t="str">
        <x:v>Careful description and cautious negotiation with something uncanny</x:v>
      </x:c>
      <x:c r="N78" s="69" t="str">
        <x:v>uncanny domestic space; delayed self; identity</x:v>
      </x:c>
      <x:c r="O78" s="69" t="str">
        <x:v>quiet and eerie</x:v>
      </x:c>
      <x:c r="P78" s="71" t="n">
        <x:v>12</x:v>
      </x:c>
      <x:c r="Q78" s="69" t="str">
        <x:v>Tonight the reflection spoke a full sentence you never said.</x:v>
      </x:c>
      <x:c r="R78" s="69" t="str">
        <x:v>Petra thinks you are imagining it, and the reflection is asking to finish that sentence.</x:v>
      </x:c>
      <x:c r="S78" s="69" t="str">
        <x:v>Green</x:v>
      </x:c>
      <x:c r="T78" s="69" t="str">
        <x:v>IES_v10_8_02_SCENE_CARDS.md#K03</x:v>
      </x:c>
      <x:c r="U78" s="69" t="str">
        <x:v>一拍遅れる鏡</x:v>
      </x:c>
      <x:c r="V78" s="69" t="str">
        <x:v>uncanny domestic space; delayed self; identity; distinctive beat: decide how much to trust the reflection's words</x:v>
      </x:c>
      <x:c r="W78" s="69" t="str">
        <x:v>highConcept</x:v>
      </x:c>
    </x:row>
    <x:row r="79" ht="44" customHeight="1">
      <x:c r="A79" s="69" t="str">
        <x:v>K04</x:v>
      </x:c>
      <x:c r="B79" s="69" t="str">
        <x:v>現実の裂け目</x:v>
      </x:c>
      <x:c r="C79" s="69" t="str">
        <x:v>The Waiting Room With No Appointment</x:v>
      </x:c>
      <x:c r="D79" s="69" t="str">
        <x:v>予約のない待合室</x:v>
      </x:c>
      <x:c r="E79" s="69" t="str">
        <x:v>A generic waiting room where names are called a full minute before the person actually arrives to check in.</x:v>
      </x:c>
      <x:c r="F79" s="69" t="str">
        <x:v>A visitor who just heard their own name called before they had even walked through the door.</x:v>
      </x:c>
      <x:c r="G79" s="69" t="str">
        <x:v>Receptionist Wren Halloway: unbothered by the timing</x:v>
      </x:c>
      <x:c r="H79" s="69" t="str">
        <x:v>Vale</x:v>
      </x:c>
      <x:c r="I79" s="69" t="str">
        <x:v>明るく好奇心がある。知的な対話や謎解きに合う</x:v>
      </x:c>
      <x:c r="J79" s="69" t="str">
        <x:v>A2–B2</x:v>
      </x:c>
      <x:c r="K79" s="69" t="str">
        <x:v>やさしい</x:v>
      </x:c>
      <x:c r="L79" s="69" t="str">
        <x:v>短い返事でOK。選択肢や言い換えあり</x:v>
      </x:c>
      <x:c r="M79" s="69" t="str">
        <x:v>Asking clarifying questions about something impossible</x:v>
      </x:c>
      <x:c r="N79" s="69" t="str">
        <x:v>surreal institution; anticipatory time; mild dread</x:v>
      </x:c>
      <x:c r="O79" s="69" t="str">
        <x:v>calm but disorienting</x:v>
      </x:c>
      <x:c r="P79" s="71" t="n">
        <x:v>10</x:v>
      </x:c>
      <x:c r="Q79" s="69" t="str">
        <x:v>Your appointment was never confirmed, yet your name was already called.</x:v>
      </x:c>
      <x:c r="R79" s="69" t="str">
        <x:v>Wren insists this happens to everyone eventually and refuses to explain further.</x:v>
      </x:c>
      <x:c r="S79" s="69" t="str">
        <x:v>Green</x:v>
      </x:c>
      <x:c r="T79" s="69" t="str">
        <x:v>IES_v10_8_02_SCENE_CARDS.md#K04</x:v>
      </x:c>
      <x:c r="U79" s="69" t="str">
        <x:v>予約のない待合室</x:v>
      </x:c>
      <x:c r="V79" s="69" t="str">
        <x:v>surreal institution; anticipatory time; mild dread; distinctive beat: compare notes with another patient's theory</x:v>
      </x:c>
      <x:c r="W79" s="69" t="str">
        <x:v>highConcept</x:v>
      </x:c>
    </x:row>
    <x:row r="80" ht="44" customHeight="1">
      <x:c r="A80" s="69" t="str">
        <x:v>K05</x:v>
      </x:c>
      <x:c r="B80" s="69" t="str">
        <x:v>現実の裂け目</x:v>
      </x:c>
      <x:c r="C80" s="69" t="str">
        <x:v>The Street That Repeats Tuesday</x:v>
      </x:c>
      <x:c r="D80" s="69" t="str">
        <x:v>火曜日を繰り返す通り</x:v>
      </x:c>
      <x:c r="E80" s="69" t="str">
        <x:v>One ordinary shopping street that has quietly relived the same Tuesday for weeks — except for one shopkeeper who remembers every loop.</x:v>
      </x:c>
      <x:c r="F80" s="69" t="str">
        <x:v>A visitor who has just realized today is the same day again.</x:v>
      </x:c>
      <x:c r="G80" s="69" t="str">
        <x:v>Shopkeeper Odile Marchand: exhausted but strangely calm about the loop</x:v>
      </x:c>
      <x:c r="H80" s="69" t="str">
        <x:v>Vale</x:v>
      </x:c>
      <x:c r="I80" s="69" t="str">
        <x:v>明るく好奇心がある。知的な対話や謎解きに合う</x:v>
      </x:c>
      <x:c r="J80" s="69" t="str">
        <x:v>B1–C1</x:v>
      </x:c>
      <x:c r="K80" s="69" t="str">
        <x:v>ふつう</x:v>
      </x:c>
      <x:c r="L80" s="69" t="str">
        <x:v>2〜3文で自然に受け答え</x:v>
      </x:c>
      <x:c r="M80" s="69" t="str">
        <x:v>Hypothesis testing and calm investigative questions</x:v>
      </x:c>
      <x:c r="N80" s="69" t="str">
        <x:v>time loop; single-location mystery; quiet urgency</x:v>
      </x:c>
      <x:c r="O80" s="69" t="str">
        <x:v>melancholic and curious</x:v>
      </x:c>
      <x:c r="P80" s="71" t="n">
        <x:v>12</x:v>
      </x:c>
      <x:c r="Q80" s="69" t="str">
        <x:v>Odile is the only person who remembers previous loops, and she thinks you might be starting to remember too.</x:v>
      </x:c>
      <x:c r="R80" s="69" t="str">
        <x:v>Whatever ends the loop must happen before the clock tower chimes again.</x:v>
      </x:c>
      <x:c r="S80" s="69" t="str">
        <x:v>Green</x:v>
      </x:c>
      <x:c r="T80" s="69" t="str">
        <x:v>IES_v10_8_02_SCENE_CARDS.md#K05</x:v>
      </x:c>
      <x:c r="U80" s="69" t="str">
        <x:v>火曜日を繰り返す通り</x:v>
      </x:c>
      <x:c r="V80" s="69" t="str">
        <x:v>time loop; single-location mystery; quiet urgency; distinctive beat: test a small hypothesis about the loop's trigger</x:v>
      </x:c>
      <x:c r="W80" s="69" t="str">
        <x:v>highConcept</x:v>
      </x:c>
    </x:row>
    <x:row r="81" ht="44" customHeight="1">
      <x:c r="A81" s="69" t="str">
        <x:v>O01</x:v>
      </x:c>
      <x:c r="B81" s="69" t="str">
        <x:v>神話と異界</x:v>
      </x:c>
      <x:c r="C81" s="69" t="str">
        <x:v>Tea With the Tide That Remembers</x:v>
      </x:c>
      <x:c r="D81" s="69" t="str">
        <x:v>記憶する潮との茶会</x:v>
      </x:c>
      <x:c r="E81" s="69" t="str">
        <x:v>A coastal folklore world where the tide itself is a slow, ancient intelligence that remembers every drowned promise made near the shore.</x:v>
      </x:c>
      <x:c r="F81" s="69" t="str">
        <x:v>A fishing-village envoy sent to renegotiate an old bargain before the season's storms.</x:v>
      </x:c>
      <x:c r="G81" s="69" t="str">
        <x:v>The Tide: speaks slowly through waves and static, performed as one calm feminine presence</x:v>
      </x:c>
      <x:c r="H81" s="69" t="str">
        <x:v>Breeze</x:v>
      </x:c>
      <x:c r="I81" s="69" t="str">
        <x:v>表情豊かで真剣。緊迫、怪異、冒険に合う</x:v>
      </x:c>
      <x:c r="J81" s="69" t="str">
        <x:v>B1–C1</x:v>
      </x:c>
      <x:c r="K81" s="69" t="str">
        <x:v>ふつう</x:v>
      </x:c>
      <x:c r="L81" s="69" t="str">
        <x:v>2〜3文で自然に受け答え</x:v>
      </x:c>
      <x:c r="M81" s="69" t="str">
        <x:v>Formal negotiation with a patient, non-human intelligence</x:v>
      </x:c>
      <x:c r="N81" s="69" t="str">
        <x:v>folklore; ancient bargain; coastal community stakes</x:v>
      </x:c>
      <x:c r="O81" s="69" t="str">
        <x:v>slow, oceanic, and grave</x:v>
      </x:c>
      <x:c r="P81" s="71" t="n">
        <x:v>15</x:v>
      </x:c>
      <x:c r="Q81" s="69" t="str">
        <x:v>Decades ago, the village promised the Tide something it has quietly stopped providing.</x:v>
      </x:c>
      <x:c r="R81" s="69" t="str">
        <x:v>The Tide is not angry, only patient, and patience has a cost that grows every season.</x:v>
      </x:c>
      <x:c r="S81" s="69" t="str">
        <x:v>Green</x:v>
      </x:c>
      <x:c r="T81" s="69" t="str">
        <x:v>IES_v10_8_02_SCENE_CARDS.md#O01</x:v>
      </x:c>
      <x:c r="U81" s="69" t="str">
        <x:v>記憶する潮との茶会</x:v>
      </x:c>
      <x:c r="V81" s="69" t="str">
        <x:v>folklore; ancient bargain; coastal community stakes; distinctive beat: explain honestly why the promise lapsed</x:v>
      </x:c>
      <x:c r="W81" s="69" t="str">
        <x:v>highConcept</x:v>
      </x:c>
    </x:row>
    <x:row r="82" ht="44" customHeight="1">
      <x:c r="A82" s="69" t="str">
        <x:v>O02</x:v>
      </x:c>
      <x:c r="B82" s="69" t="str">
        <x:v>神話と異界</x:v>
      </x:c>
      <x:c r="C82" s="69" t="str">
        <x:v>The Auditor of Forgotten Prayers</x:v>
      </x:c>
      <x:c r="D82" s="69" t="str">
        <x:v>忘れられた祈りの監査官</x:v>
      </x:c>
      <x:c r="E82" s="69" t="str">
        <x:v>A minor bureaucratic corner of a vast pantheon, where an auditor reviews which old shrines still receive enough belief to remain real.</x:v>
      </x:c>
      <x:c r="F82" s="69" t="str">
        <x:v>A newly appointed auditor reviewing a shrine on the verge of being decommissioned.</x:v>
      </x:c>
      <x:c r="G82" s="69" t="str">
        <x:v>The Shrine Spirit: proud, fading, unwilling to beg</x:v>
      </x:c>
      <x:c r="H82" s="69" t="str">
        <x:v>Sol</x:v>
      </x:c>
      <x:c r="I82" s="69" t="str">
        <x:v>こなれて落ち着く。交渉、駆け引き、仕事に合う</x:v>
      </x:c>
      <x:c r="J82" s="69" t="str">
        <x:v>B2–C1</x:v>
      </x:c>
      <x:c r="K82" s="69" t="str">
        <x:v>しっかり</x:v>
      </x:c>
      <x:c r="L82" s="69" t="str">
        <x:v>理由説明や交渉まで</x:v>
      </x:c>
      <x:c r="M82" s="69" t="str">
        <x:v>Evaluating evidence and delivering a difficult ruling with tact</x:v>
      </x:c>
      <x:c r="N82" s="69" t="str">
        <x:v>minor deities; bureaucratic mythology; fading belief</x:v>
      </x:c>
      <x:c r="O82" s="69" t="str">
        <x:v>wry, bittersweet, and formal</x:v>
      </x:c>
      <x:c r="P82" s="71" t="n">
        <x:v>15</x:v>
      </x:c>
      <x:c r="Q82" s="69" t="str">
        <x:v>The shrine's belief metrics are too low to renew automatically, but the spirit clearly still has power.</x:v>
      </x:c>
      <x:c r="R82" s="69" t="str">
        <x:v>Kessa wants a quick decommission; Toma is offering evidence the standard metrics do not measure.</x:v>
      </x:c>
      <x:c r="S82" s="69" t="str">
        <x:v>Green</x:v>
      </x:c>
      <x:c r="T82" s="69" t="str">
        <x:v>IES_v10_8_02_SCENE_CARDS.md#O02</x:v>
      </x:c>
      <x:c r="U82" s="69" t="str">
        <x:v>忘れられた祈りの監査官</x:v>
      </x:c>
      <x:c r="V82" s="69" t="str">
        <x:v>minor deities; bureaucratic mythology; fading belief; distinctive beat: question the auditor's own assumptions</x:v>
      </x:c>
      <x:c r="W82" s="69" t="str">
        <x:v>highConcept</x:v>
      </x:c>
    </x:row>
    <x:row r="83" ht="44" customHeight="1">
      <x:c r="A83" s="69" t="str">
        <x:v>O03</x:v>
      </x:c>
      <x:c r="B83" s="69" t="str">
        <x:v>神話と異界</x:v>
      </x:c>
      <x:c r="C83" s="69" t="str">
        <x:v>The Star That Owes a Debt</x:v>
      </x:c>
      <x:c r="D83" s="69" t="str">
        <x:v>借りを返す星</x:v>
      </x:c>
      <x:c r="E83" s="69" t="str">
        <x:v>A cosmology where stars are ancient beings bound by an old economy of favors, debts, and light lent between one another.</x:v>
      </x:c>
      <x:c r="F83" s="69" t="str">
        <x:v>An envoy sent to collect on a debt a dimming star has avoided for centuries.</x:v>
      </x:c>
      <x:c r="G83" s="69" t="str">
        <x:v>The Star: proud, fading, evasive about repayment</x:v>
      </x:c>
      <x:c r="H83" s="69" t="str">
        <x:v>Breeze</x:v>
      </x:c>
      <x:c r="I83" s="69" t="str">
        <x:v>表情豊かで真剣。緊迫、怪異、冒険に合う</x:v>
      </x:c>
      <x:c r="J83" s="69" t="str">
        <x:v>B2–C1</x:v>
      </x:c>
      <x:c r="K83" s="69" t="str">
        <x:v>しっかり</x:v>
      </x:c>
      <x:c r="L83" s="69" t="str">
        <x:v>理由説明や交渉まで</x:v>
      </x:c>
      <x:c r="M83" s="69" t="str">
        <x:v>Persistent negotiation without losing composure</x:v>
      </x:c>
      <x:c r="N83" s="69" t="str">
        <x:v>cosmic-scale folklore; debt and favor economy; pride</x:v>
      </x:c>
      <x:c r="O83" s="69" t="str">
        <x:v>vast, formal, and quietly tense</x:v>
      </x:c>
      <x:c r="P83" s="71" t="n">
        <x:v>15</x:v>
      </x:c>
      <x:c r="Q83" s="69" t="str">
        <x:v>The star claims the original debt was already repaid in a form no living being recorded.</x:v>
      </x:c>
      <x:c r="R83" s="69" t="str">
        <x:v>The Ledger's record is incomplete, and the star is using that gap to its advantage.</x:v>
      </x:c>
      <x:c r="S83" s="69" t="str">
        <x:v>Green</x:v>
      </x:c>
      <x:c r="T83" s="69" t="str">
        <x:v>IES_v10_8_02_SCENE_CARDS.md#O03</x:v>
      </x:c>
      <x:c r="U83" s="69" t="str">
        <x:v>借りを返す星</x:v>
      </x:c>
      <x:c r="V83" s="69" t="str">
        <x:v>cosmic-scale folklore; debt and favor economy; pride; distinctive beat: press gently on an inconsistency without accusing outright</x:v>
      </x:c>
      <x:c r="W83" s="69" t="str">
        <x:v>highConcept</x:v>
      </x:c>
    </x:row>
    <x:row r="84" ht="44" customHeight="1">
      <x:c r="A84" s="69" t="str">
        <x:v>O04</x:v>
      </x:c>
      <x:c r="B84" s="69" t="str">
        <x:v>神話と異界</x:v>
      </x:c>
      <x:c r="C84" s="69" t="str">
        <x:v>The Loom That Weaves Tomorrow</x:v>
      </x:c>
      <x:c r="D84" s="69" t="str">
        <x:v>明日を織る機</x:v>
      </x:c>
      <x:c r="E84" s="69" t="str">
        <x:v>A mythic weaving-hall where a patient figure weaves the threads of coming days, and visitors may request — never demand — a single change.</x:v>
      </x:c>
      <x:c r="F84" s="69" t="str">
        <x:v>A petitioner asking to unweave one specific, painful thread before it happens.</x:v>
      </x:c>
      <x:c r="G84" s="69" t="str">
        <x:v>The Weaver: calm, ancient, performed as a deliberate and measured feminine presence</x:v>
      </x:c>
      <x:c r="H84" s="69" t="str">
        <x:v>Vale</x:v>
      </x:c>
      <x:c r="I84" s="69" t="str">
        <x:v>明るく好奇心がある。知的な対話や謎解きに合う</x:v>
      </x:c>
      <x:c r="J84" s="69" t="str">
        <x:v>B2–C1</x:v>
      </x:c>
      <x:c r="K84" s="69" t="str">
        <x:v>しっかり</x:v>
      </x:c>
      <x:c r="L84" s="69" t="str">
        <x:v>理由説明や交渉まで</x:v>
      </x:c>
      <x:c r="M84" s="69" t="str">
        <x:v>Persuasion under strict procedural limits</x:v>
      </x:c>
      <x:c r="N84" s="69" t="str">
        <x:v>fate; mythic bureaucracy; irreversible consequence</x:v>
      </x:c>
      <x:c r="O84" s="69" t="str">
        <x:v>solemn and quietly moving</x:v>
      </x:c>
      <x:c r="P84" s="71" t="n">
        <x:v>15</x:v>
      </x:c>
      <x:c r="Q84" s="69" t="str">
        <x:v>The Weaver allows exactly one request per visitor, and unweaving one thread may fray three others.</x:v>
      </x:c>
      <x:c r="R84" s="69" t="str">
        <x:v>Lys hints that a smaller, adjacent request might succeed where the big one would fail.</x:v>
      </x:c>
      <x:c r="S84" s="69" t="str">
        <x:v>Green</x:v>
      </x:c>
      <x:c r="T84" s="69" t="str">
        <x:v>IES_v10_8_02_SCENE_CARDS.md#O04</x:v>
      </x:c>
      <x:c r="U84" s="69" t="str">
        <x:v>明日を織る機</x:v>
      </x:c>
      <x:c r="V84" s="69" t="str">
        <x:v>fate; mythic bureaucracy; irreversible consequence; distinctive beat: ask about the specific consequences before deciding</x:v>
      </x:c>
      <x:c r="W84" s="69" t="str">
        <x:v>highConcept</x:v>
      </x:c>
    </x:row>
    <x:row r="85" ht="44" customHeight="1">
      <x:c r="A85" s="69" t="str">
        <x:v>O05</x:v>
      </x:c>
      <x:c r="B85" s="69" t="str">
        <x:v>神話と異界</x:v>
      </x:c>
      <x:c r="C85" s="69" t="str">
        <x:v>The Mountain That Chooses Its Priest</x:v>
      </x:c>
      <x:c r="D85" s="69" t="str">
        <x:v>山が選ぶ神主</x:v>
      </x:c>
      <x:c r="E85" s="69" t="str">
        <x:v>A mountain shrine tradition where the mountain itself, through a slow and physical ritual, chooses its next caretaker from among several candidates.</x:v>
      </x:c>
      <x:c r="F85" s="69" t="str">
        <x:v>One of three candidates undergoing the mountain's traditional selection dialogue.</x:v>
      </x:c>
      <x:c r="G85" s="69" t="str">
        <x:v>The Mountain: speaks rarely, through wind and one designated voice</x:v>
      </x:c>
      <x:c r="H85" s="69" t="str">
        <x:v>Breeze</x:v>
      </x:c>
      <x:c r="I85" s="69" t="str">
        <x:v>表情豊かで真剣。緊迫、怪異、冒険に合う</x:v>
      </x:c>
      <x:c r="J85" s="69" t="str">
        <x:v>B1–B2</x:v>
      </x:c>
      <x:c r="K85" s="69" t="str">
        <x:v>ふつう</x:v>
      </x:c>
      <x:c r="L85" s="69" t="str">
        <x:v>2〜3文で自然に受け答え</x:v>
      </x:c>
      <x:c r="M85" s="69" t="str">
        <x:v>Answering ritual questions honestly under quiet pressure</x:v>
      </x:c>
      <x:c r="N85" s="69" t="str">
        <x:v>folklore selection ritual; rivalry; humility versus ambition</x:v>
      </x:c>
      <x:c r="O85" s="69" t="str">
        <x:v>solemn, natural, and gently tense</x:v>
      </x:c>
      <x:c r="P85" s="71" t="n">
        <x:v>12</x:v>
      </x:c>
      <x:c r="Q85" s="69" t="str">
        <x:v>The mountain has already rejected two confident answers this morning.</x:v>
      </x:c>
      <x:c r="R85" s="69" t="str">
        <x:v>Hana's answers are technically superior, but the mountain seems to be listening for something else.</x:v>
      </x:c>
      <x:c r="S85" s="69" t="str">
        <x:v>Green</x:v>
      </x:c>
      <x:c r="T85" s="69" t="str">
        <x:v>IES_v10_8_02_SCENE_CARDS.md#O05</x:v>
      </x:c>
      <x:c r="U85" s="69" t="str">
        <x:v>山が選ぶ神主</x:v>
      </x:c>
      <x:c r="V85" s="69" t="str">
        <x:v>folklore selection ritual; rivalry; humility versus ambition; distinctive beat: respond to hana's implicit challenge without arrogance</x:v>
      </x:c>
      <x:c r="W85" s="69" t="str">
        <x:v>highConcept</x:v>
      </x:c>
    </x:row>
    <x:row r="86" ht="44" customHeight="1">
      <x:c r="A86" s="69" t="str">
        <x:v>W01</x:v>
      </x:c>
      <x:c r="B86" s="69" t="str">
        <x:v>現代オフィス</x:v>
      </x:c>
      <x:c r="C86" s="69" t="str">
        <x:v>The Promotion Interview Reversed</x:v>
      </x:c>
      <x:c r="D86" s="69" t="str">
        <x:v>昇進面談の逆質問</x:v>
      </x:c>
      <x:c r="E86" s="69" t="str">
        <x:v>Present day; a glass meeting room after quarterly reviews. No supernatural rule is added.</x:v>
      </x:c>
      <x:c r="F86" s="69" t="str">
        <x:v>an employee unexpectedly shortlisted for promotion</x:v>
      </x:c>
      <x:c r="G86" s="69" t="str">
        <x:v>Maya Chen, your exacting department head</x:v>
      </x:c>
      <x:c r="H86" s="69" t="str">
        <x:v>Sol</x:v>
      </x:c>
      <x:c r="I86" s="69" t="str">
        <x:v>こなれて落ち着く。交渉、駆け引き、仕事に合う</x:v>
      </x:c>
      <x:c r="J86" s="69" t="str">
        <x:v>B1–B2</x:v>
      </x:c>
      <x:c r="K86" s="69" t="str">
        <x:v>ふつう</x:v>
      </x:c>
      <x:c r="L86" s="69" t="str">
        <x:v>2〜3文で自然に受け答え</x:v>
      </x:c>
      <x:c r="M86" s="69" t="str">
        <x:v>giving tactful upward feedback</x:v>
      </x:c>
      <x:c r="N86" s="69" t="str">
        <x:v>one-to-one; a vague answer will; giving tactful upward feedback</x:v>
      </x:c>
      <x:c r="O86" s="69" t="str">
        <x:v>contemporary, professional, and emotionally grounded</x:v>
      </x:c>
      <x:c r="P86" s="71" t="n">
        <x:v>10</x:v>
      </x:c>
      <x:c r="Q86" s="69" t="str">
        <x:v>Maya asks what you would change about her leadership if you took the role</x:v>
      </x:c>
      <x:c r="R86" s="69" t="str">
        <x:v>a vague answer will be treated as lack of judgment</x:v>
      </x:c>
      <x:c r="S86" s="69" t="str">
        <x:v>Green</x:v>
      </x:c>
      <x:c r="T86" s="69" t="str">
        <x:v>IES_v10_8_02_SCENE_CARDS.md#W01</x:v>
      </x:c>
      <x:c r="U86" s="69" t="str">
        <x:v>昇進面談の逆質問</x:v>
      </x:c>
      <x:c r="V86" s="69" t="str">
        <x:v>Maya Chen pushes on "a vague answer will be treated", and the whole exchange turns on giving tactful upward feedback.</x:v>
      </x:c>
      <x:c r="W86" s="69" t="str">
        <x:v>practical</x:v>
      </x:c>
    </x:row>
    <x:row r="87" ht="44" customHeight="1">
      <x:c r="A87" s="69" t="str">
        <x:v>W02</x:v>
      </x:c>
      <x:c r="B87" s="69" t="str">
        <x:v>現代オフィス</x:v>
      </x:c>
      <x:c r="C87" s="69" t="str">
        <x:v>The Missing Pitch Deck</x:v>
      </x:c>
      <x:c r="D87" s="69" t="str">
        <x:v>消えた企画書の朝</x:v>
      </x:c>
      <x:c r="E87" s="69" t="str">
        <x:v>Present day; a startup office two hours before an investor pitch. No supernatural rule is added.</x:v>
      </x:c>
      <x:c r="F87" s="69" t="str">
        <x:v>the project lead whose final presentation vanished</x:v>
      </x:c>
      <x:c r="G87" s="69" t="str">
        <x:v>Nora Vale, your calm but suspicious cofounder</x:v>
      </x:c>
      <x:c r="H87" s="69" t="str">
        <x:v>Sol</x:v>
      </x:c>
      <x:c r="I87" s="69" t="str">
        <x:v>こなれて落ち着く。交渉、駆け引き、仕事に合う</x:v>
      </x:c>
      <x:c r="J87" s="69" t="str">
        <x:v>B1–B2</x:v>
      </x:c>
      <x:c r="K87" s="69" t="str">
        <x:v>ふつう</x:v>
      </x:c>
      <x:c r="L87" s="69" t="str">
        <x:v>2〜3文で自然に受け答え</x:v>
      </x:c>
      <x:c r="M87" s="69" t="str">
        <x:v>incident reporting and collaborative problem-solving</x:v>
      </x:c>
      <x:c r="N87" s="69" t="str">
        <x:v>one-to-one; nora has found evidence; incident reporting</x:v>
      </x:c>
      <x:c r="O87" s="69" t="str">
        <x:v>contemporary, professional, and emotionally grounded</x:v>
      </x:c>
      <x:c r="P87" s="71" t="n">
        <x:v>12</x:v>
      </x:c>
      <x:c r="Q87" s="69" t="str">
        <x:v>reconstruct the deck and establish what happened without blaming anyone</x:v>
      </x:c>
      <x:c r="R87" s="69" t="str">
        <x:v>Nora has found evidence that your account opened the file last</x:v>
      </x:c>
      <x:c r="S87" s="69" t="str">
        <x:v>Green</x:v>
      </x:c>
      <x:c r="T87" s="69" t="str">
        <x:v>IES_v10_8_02_SCENE_CARDS.md#W02</x:v>
      </x:c>
      <x:c r="U87" s="69" t="str">
        <x:v>消えた企画書の朝</x:v>
      </x:c>
      <x:c r="V87" s="69" t="str">
        <x:v>Nora Vale pushes on "nora has found evidence that your", and the whole exchange turns on incident reporting and collaborative.</x:v>
      </x:c>
      <x:c r="W87" s="69" t="str">
        <x:v>practical</x:v>
      </x:c>
    </x:row>
    <x:row r="88" ht="44" customHeight="1">
      <x:c r="A88" s="69" t="str">
        <x:v>W03</x:v>
      </x:c>
      <x:c r="B88" s="69" t="str">
        <x:v>現代オフィス</x:v>
      </x:c>
      <x:c r="C88" s="69" t="str">
        <x:v>The Exit Interview Without Pressure</x:v>
      </x:c>
      <x:c r="D88" s="69" t="str">
        <x:v>退職を止めない引き留め面談</x:v>
      </x:c>
      <x:c r="E88" s="69" t="str">
        <x:v>Present day; a quiet conference room on a colleague's final day. No supernatural rule is added.</x:v>
      </x:c>
      <x:c r="F88" s="69" t="str">
        <x:v>the manager conducting an honest exit interview</x:v>
      </x:c>
      <x:c r="G88" s="69" t="str">
        <x:v>Elena Park, a brilliant employee who has already resigned</x:v>
      </x:c>
      <x:c r="H88" s="69" t="str">
        <x:v>Sol</x:v>
      </x:c>
      <x:c r="I88" s="69" t="str">
        <x:v>こなれて落ち着く。交渉、駆け引き、仕事に合う</x:v>
      </x:c>
      <x:c r="J88" s="69" t="str">
        <x:v>B1–B2</x:v>
      </x:c>
      <x:c r="K88" s="69" t="str">
        <x:v>ふつう</x:v>
      </x:c>
      <x:c r="L88" s="69" t="str">
        <x:v>2〜3文で自然に受け答え</x:v>
      </x:c>
      <x:c r="M88" s="69" t="str">
        <x:v>open questions and respectful negotiation</x:v>
      </x:c>
      <x:c r="N88" s="69" t="str">
        <x:v>one-to-one; elena will leave immediately; open questions</x:v>
      </x:c>
      <x:c r="O88" s="69" t="str">
        <x:v>contemporary, professional, and emotionally grounded</x:v>
      </x:c>
      <x:c r="P88" s="71" t="n">
        <x:v>10</x:v>
      </x:c>
      <x:c r="Q88" s="69" t="str">
        <x:v>learn the real reason she is leaving and discuss a possible repair without coercion</x:v>
      </x:c>
      <x:c r="R88" s="69" t="str">
        <x:v>Elena will leave immediately if the conversation becomes manipulative</x:v>
      </x:c>
      <x:c r="S88" s="69" t="str">
        <x:v>Green</x:v>
      </x:c>
      <x:c r="T88" s="69" t="str">
        <x:v>IES_v10_8_02_SCENE_CARDS.md#W03</x:v>
      </x:c>
      <x:c r="U88" s="69" t="str">
        <x:v>退職を止めない引き留め面談</x:v>
      </x:c>
      <x:c r="V88" s="69" t="str">
        <x:v>Elena Park pushes on "elena will leave immediately if the", and the whole exchange turns on open questions and respectful.</x:v>
      </x:c>
      <x:c r="W88" s="69" t="str">
        <x:v>practical</x:v>
      </x:c>
    </x:row>
    <x:row r="89" ht="44" customHeight="1">
      <x:c r="A89" s="69" t="str">
        <x:v>W04</x:v>
      </x:c>
      <x:c r="B89" s="69" t="str">
        <x:v>現代オフィス</x:v>
      </x:c>
      <x:c r="C89" s="69" t="str">
        <x:v>The Impossible Client Deadline</x:v>
      </x:c>
      <x:c r="D89" s="69" t="str">
        <x:v>取引先の無理な納期</x:v>
      </x:c>
      <x:c r="E89" s="69" t="str">
        <x:v>Present day; a video call between two companies after a launch date was moved forward. No supernatural rule is added.</x:v>
      </x:c>
      <x:c r="F89" s="69" t="str">
        <x:v>the account manager responsible for delivery</x:v>
      </x:c>
      <x:c r="G89" s="69" t="str">
        <x:v>Priya Shah, the client's operations director</x:v>
      </x:c>
      <x:c r="H89" s="69" t="str">
        <x:v>Sol</x:v>
      </x:c>
      <x:c r="I89" s="69" t="str">
        <x:v>こなれて落ち着く。交渉、駆け引き、仕事に合う</x:v>
      </x:c>
      <x:c r="J89" s="69" t="str">
        <x:v>B1–B2</x:v>
      </x:c>
      <x:c r="K89" s="69" t="str">
        <x:v>ふつう</x:v>
      </x:c>
      <x:c r="L89" s="69" t="str">
        <x:v>2〜3文で自然に受け答え</x:v>
      </x:c>
      <x:c r="M89" s="69" t="str">
        <x:v>scope negotiation and proposing alternatives</x:v>
      </x:c>
      <x:c r="N89" s="69" t="str">
        <x:v>one-to-one; priya has authority to; scope negotiation</x:v>
      </x:c>
      <x:c r="O89" s="69" t="str">
        <x:v>contemporary, professional, and emotionally grounded</x:v>
      </x:c>
      <x:c r="P89" s="71" t="n">
        <x:v>12</x:v>
      </x:c>
      <x:c r="Q89" s="69" t="str">
        <x:v>reset the deadline while preserving the relationship</x:v>
      </x:c>
      <x:c r="R89" s="69" t="str">
        <x:v>Priya has authority to replace your company today</x:v>
      </x:c>
      <x:c r="S89" s="69" t="str">
        <x:v>Green</x:v>
      </x:c>
      <x:c r="T89" s="69" t="str">
        <x:v>IES_v10_8_02_SCENE_CARDS.md#W04</x:v>
      </x:c>
      <x:c r="U89" s="69" t="str">
        <x:v>取引先の無理な納期</x:v>
      </x:c>
      <x:c r="V89" s="69" t="str">
        <x:v>Priya Shah pushes on "priya has authority to replace your", and the whole exchange turns on scope negotiation and proposing.</x:v>
      </x:c>
      <x:c r="W89" s="69" t="str">
        <x:v>practical</x:v>
      </x:c>
    </x:row>
    <x:row r="90" ht="44" customHeight="1">
      <x:c r="A90" s="69" t="str">
        <x:v>W05</x:v>
      </x:c>
      <x:c r="B90" s="69" t="str">
        <x:v>現代オフィス</x:v>
      </x:c>
      <x:c r="C90" s="69" t="str">
        <x:v>The Rumor at Work</x:v>
      </x:c>
      <x:c r="D90" s="69" t="str">
        <x:v>社内恋愛を疑われた二人</x:v>
      </x:c>
      <x:c r="E90" s="69" t="str">
        <x:v>Present day; an office cafeteria after coworkers misread a late-night project meeting. No supernatural rule is added.</x:v>
      </x:c>
      <x:c r="F90" s="69" t="str">
        <x:v>the employee named in a workplace rumor</x:v>
      </x:c>
      <x:c r="G90" s="69" t="str">
        <x:v>Naomi Brooks, your teammate and the other subject of the rumor</x:v>
      </x:c>
      <x:c r="H90" s="69" t="str">
        <x:v>Sol</x:v>
      </x:c>
      <x:c r="I90" s="69" t="str">
        <x:v>こなれて落ち着く。交渉、駆け引き、仕事に合う</x:v>
      </x:c>
      <x:c r="J90" s="69" t="str">
        <x:v>B1–B2</x:v>
      </x:c>
      <x:c r="K90" s="69" t="str">
        <x:v>ふつう</x:v>
      </x:c>
      <x:c r="L90" s="69" t="str">
        <x:v>2〜3文で自然に受け答え</x:v>
      </x:c>
      <x:c r="M90" s="69" t="str">
        <x:v>boundary setting and joint messaging</x:v>
      </x:c>
      <x:c r="N90" s="69" t="str">
        <x:v>one-to-one; silence may damage both; boundary setting</x:v>
      </x:c>
      <x:c r="O90" s="69" t="str">
        <x:v>contemporary, professional, and emotionally grounded</x:v>
      </x:c>
      <x:c r="P90" s="71" t="n">
        <x:v>10</x:v>
      </x:c>
      <x:c r="Q90" s="69" t="str">
        <x:v>agree on boundaries and a clear response to the team</x:v>
      </x:c>
      <x:c r="R90" s="69" t="str">
        <x:v>silence may damage both reputations, but overexplaining may feed the rumor</x:v>
      </x:c>
      <x:c r="S90" s="69" t="str">
        <x:v>Green</x:v>
      </x:c>
      <x:c r="T90" s="69" t="str">
        <x:v>IES_v10_8_02_SCENE_CARDS.md#W05</x:v>
      </x:c>
      <x:c r="U90" s="69" t="str">
        <x:v>社内恋愛を疑われた二人</x:v>
      </x:c>
      <x:c r="V90" s="69" t="str">
        <x:v>Naomi Brooks pushes on "silence may damage both reputations, but", and the whole exchange turns on boundary setting and joint.</x:v>
      </x:c>
      <x:c r="W90" s="69" t="str">
        <x:v>practical</x:v>
      </x:c>
    </x:row>
    <x:row r="91" ht="44" customHeight="1">
      <x:c r="A91" s="69" t="str">
        <x:v>W06</x:v>
      </x:c>
      <x:c r="B91" s="69" t="str">
        <x:v>現代オフィス</x:v>
      </x:c>
      <x:c r="C91" s="69" t="str">
        <x:v>The New Manager's First No</x:v>
      </x:c>
      <x:c r="D91" s="69" t="str">
        <x:v>新任上司への反対意見</x:v>
      </x:c>
      <x:c r="E91" s="69" t="str">
        <x:v>Present day; a planning meeting during a risky reorganization. No supernatural rule is added.</x:v>
      </x:c>
      <x:c r="F91" s="69" t="str">
        <x:v>the senior specialist asked to endorse the plan</x:v>
      </x:c>
      <x:c r="G91" s="69" t="str">
        <x:v>Camila Reed, your newly appointed manager</x:v>
      </x:c>
      <x:c r="H91" s="69" t="str">
        <x:v>Sol</x:v>
      </x:c>
      <x:c r="I91" s="69" t="str">
        <x:v>こなれて落ち着く。交渉、駆け引き、仕事に合う</x:v>
      </x:c>
      <x:c r="J91" s="69" t="str">
        <x:v>B2–C1</x:v>
      </x:c>
      <x:c r="K91" s="69" t="str">
        <x:v>しっかり</x:v>
      </x:c>
      <x:c r="L91" s="69" t="str">
        <x:v>理由説明や交渉まで</x:v>
      </x:c>
      <x:c r="M91" s="69" t="str">
        <x:v>professional disagreement and evidence</x:v>
      </x:c>
      <x:c r="N91" s="69" t="str">
        <x:v>one-to-one; camila must announce the; professional disagreement</x:v>
      </x:c>
      <x:c r="O91" s="69" t="str">
        <x:v>contemporary, professional, and emotionally grounded</x:v>
      </x:c>
      <x:c r="P91" s="71" t="n">
        <x:v>12</x:v>
      </x:c>
      <x:c r="Q91" s="69" t="str">
        <x:v>challenge one dangerous assumption and offer a workable alternative</x:v>
      </x:c>
      <x:c r="R91" s="69" t="str">
        <x:v>Camila must announce the plan in thirty minutes</x:v>
      </x:c>
      <x:c r="S91" s="69" t="str">
        <x:v>Green</x:v>
      </x:c>
      <x:c r="T91" s="69" t="str">
        <x:v>IES_v10_8_02_SCENE_CARDS.md#W06</x:v>
      </x:c>
      <x:c r="U91" s="69" t="str">
        <x:v>新任上司への反対意見</x:v>
      </x:c>
      <x:c r="V91" s="69" t="str">
        <x:v>Camila Reed pushes on "camila must announce the plan in", and the whole exchange turns on professional disagreement and evidence.</x:v>
      </x:c>
      <x:c r="W91" s="69" t="str">
        <x:v>practical</x:v>
      </x:c>
    </x:row>
    <x:row r="92" ht="44" customHeight="1">
      <x:c r="A92" s="69" t="str">
        <x:v>W07</x:v>
      </x:c>
      <x:c r="B92" s="69" t="str">
        <x:v>現代オフィス</x:v>
      </x:c>
      <x:c r="C92" s="69" t="str">
        <x:v>The Microphone Was Still On</x:v>
      </x:c>
      <x:c r="D92" s="69" t="str">
        <x:v>リモート会議の裏側</x:v>
      </x:c>
      <x:c r="E92" s="69" t="str">
        <x:v>Present day; a remote team call immediately after an accidental private comment was broadcast. No supernatural rule is added.</x:v>
      </x:c>
      <x:c r="F92" s="69" t="str">
        <x:v>the person whose remark was heard</x:v>
      </x:c>
      <x:c r="G92" s="69" t="str">
        <x:v>Zoe Martin, the colleague affected by the remark</x:v>
      </x:c>
      <x:c r="H92" s="69" t="str">
        <x:v>Sol</x:v>
      </x:c>
      <x:c r="I92" s="69" t="str">
        <x:v>こなれて落ち着く。交渉、駆け引き、仕事に合う</x:v>
      </x:c>
      <x:c r="J92" s="69" t="str">
        <x:v>A2–B2</x:v>
      </x:c>
      <x:c r="K92" s="69" t="str">
        <x:v>やさしい</x:v>
      </x:c>
      <x:c r="L92" s="69" t="str">
        <x:v>短い返事でOK。選択肢や言い換えあり</x:v>
      </x:c>
      <x:c r="M92" s="69" t="str">
        <x:v>accountable apology and repair</x:v>
      </x:c>
      <x:c r="N92" s="69" t="str">
        <x:v>one-to-one; the next all-hands meeting; accountable apology</x:v>
      </x:c>
      <x:c r="O92" s="69" t="str">
        <x:v>contemporary, professional, and emotionally grounded</x:v>
      </x:c>
      <x:c r="P92" s="71" t="n">
        <x:v>10</x:v>
      </x:c>
      <x:c r="Q92" s="69" t="str">
        <x:v>apologize, clarify intent, and agree on how to repair trust</x:v>
      </x:c>
      <x:c r="R92" s="69" t="str">
        <x:v>the next all-hands meeting starts in fifteen minutes</x:v>
      </x:c>
      <x:c r="S92" s="69" t="str">
        <x:v>Green</x:v>
      </x:c>
      <x:c r="T92" s="69" t="str">
        <x:v>IES_v10_8_02_SCENE_CARDS.md#W07</x:v>
      </x:c>
      <x:c r="U92" s="69" t="str">
        <x:v>リモート会議の裏側</x:v>
      </x:c>
      <x:c r="V92" s="69" t="str">
        <x:v>Zoe Martin pushes on "the next all-hands meeting starts in", and the whole exchange turns on accountable apology and repair.</x:v>
      </x:c>
      <x:c r="W92" s="69" t="str">
        <x:v>practical</x:v>
      </x:c>
    </x:row>
    <x:row r="93" ht="44" customHeight="1">
      <x:c r="A93" s="69" t="str">
        <x:v>W08</x:v>
      </x:c>
      <x:c r="B93" s="69" t="str">
        <x:v>現代オフィス</x:v>
      </x:c>
      <x:c r="C93" s="69" t="str">
        <x:v>The CEO Visits the Floor</x:v>
      </x:c>
      <x:c r="D93" s="69" t="str">
        <x:v>社長の視察と現場の本音</x:v>
      </x:c>
      <x:c r="E93" s="69" t="str">
        <x:v>Present day; a distribution center during an unannounced executive visit. No supernatural rule is added.</x:v>
      </x:c>
      <x:c r="F93" s="69" t="str">
        <x:v>the shift supervisor expected to give a polished tour</x:v>
      </x:c>
      <x:c r="G93" s="69" t="str">
        <x:v>Aisha Cole, the chief executive who asks unusually direct questions</x:v>
      </x:c>
      <x:c r="H93" s="69" t="str">
        <x:v>Sol</x:v>
      </x:c>
      <x:c r="I93" s="69" t="str">
        <x:v>こなれて落ち着く。交渉、駆け引き、仕事に合う</x:v>
      </x:c>
      <x:c r="J93" s="69" t="str">
        <x:v>B1–C1</x:v>
      </x:c>
      <x:c r="K93" s="69" t="str">
        <x:v>ふつう</x:v>
      </x:c>
      <x:c r="L93" s="69" t="str">
        <x:v>2〜3文で自然に受け答え</x:v>
      </x:c>
      <x:c r="M93" s="69" t="str">
        <x:v>speaking truth to power</x:v>
      </x:c>
      <x:c r="N93" s="69" t="str">
        <x:v>one-to-one; local management has instructed; speaking truth to power</x:v>
      </x:c>
      <x:c r="O93" s="69" t="str">
        <x:v>contemporary, professional, and emotionally grounded</x:v>
      </x:c>
      <x:c r="P93" s="71" t="n">
        <x:v>12</x:v>
      </x:c>
      <x:c r="Q93" s="69" t="str">
        <x:v>explain a serious operational problem without exposing private employee details</x:v>
      </x:c>
      <x:c r="R93" s="69" t="str">
        <x:v>local management has instructed you to say everything is fine</x:v>
      </x:c>
      <x:c r="S93" s="69" t="str">
        <x:v>Green</x:v>
      </x:c>
      <x:c r="T93" s="69" t="str">
        <x:v>IES_v10_8_02_SCENE_CARDS.md#W08</x:v>
      </x:c>
      <x:c r="U93" s="69" t="str">
        <x:v>社長の視察と現場の本音</x:v>
      </x:c>
      <x:c r="V93" s="69" t="str">
        <x:v>Aisha Cole pushes on "local management has instructed you to", and the whole exchange turns on speaking truth to power.</x:v>
      </x:c>
      <x:c r="W93" s="69" t="str">
        <x:v>practical</x:v>
      </x:c>
    </x:row>
    <x:row r="94" ht="44" customHeight="1">
      <x:c r="A94" s="69" t="str">
        <x:v>W09</x:v>
      </x:c>
      <x:c r="B94" s="69" t="str">
        <x:v>現代オフィス</x:v>
      </x:c>
      <x:c r="C94" s="69" t="str">
        <x:v>The Business Continuity Night</x:v>
      </x:c>
      <x:c r="D94" s="69" t="str">
        <x:v>二人だけの事業継続会議</x:v>
      </x:c>
      <x:c r="E94" s="69" t="str">
        <x:v>Present day; an office during a citywide power outage. No supernatural rule is added.</x:v>
      </x:c>
      <x:c r="F94" s="69" t="str">
        <x:v>the employee responsible for keeping one essential service running</x:v>
      </x:c>
      <x:c r="G94" s="69" t="str">
        <x:v>Harper Lin, the rival team lead with the only working backup system</x:v>
      </x:c>
      <x:c r="H94" s="69" t="str">
        <x:v>Sol</x:v>
      </x:c>
      <x:c r="I94" s="69" t="str">
        <x:v>こなれて落ち着く。交渉、駆け引き、仕事に合う</x:v>
      </x:c>
      <x:c r="J94" s="69" t="str">
        <x:v>B1–B2</x:v>
      </x:c>
      <x:c r="K94" s="69" t="str">
        <x:v>ふつう</x:v>
      </x:c>
      <x:c r="L94" s="69" t="str">
        <x:v>2〜3文で自然に受け答え</x:v>
      </x:c>
      <x:c r="M94" s="69" t="str">
        <x:v>prioritization and compromise</x:v>
      </x:c>
      <x:c r="N94" s="69" t="str">
        <x:v>one-to-one; the batteries support only; prioritization</x:v>
      </x:c>
      <x:c r="O94" s="69" t="str">
        <x:v>contemporary, professional, and emotionally grounded</x:v>
      </x:c>
      <x:c r="P94" s="71" t="n">
        <x:v>12</x:v>
      </x:c>
      <x:c r="Q94" s="69" t="str">
        <x:v>combine resources and decide which customers are served first</x:v>
      </x:c>
      <x:c r="R94" s="69" t="str">
        <x:v>the batteries support only one of two critical systems</x:v>
      </x:c>
      <x:c r="S94" s="69" t="str">
        <x:v>Green</x:v>
      </x:c>
      <x:c r="T94" s="69" t="str">
        <x:v>IES_v10_8_02_SCENE_CARDS.md#W09</x:v>
      </x:c>
      <x:c r="U94" s="69" t="str">
        <x:v>二人だけの事業継続会議</x:v>
      </x:c>
      <x:c r="V94" s="69" t="str">
        <x:v>Harper Lin pushes on "the batteries support only one of", and the whole exchange turns on prioritization and compromise.</x:v>
      </x:c>
      <x:c r="W94" s="69" t="str">
        <x:v>practical</x:v>
      </x:c>
    </x:row>
    <x:row r="95" ht="44" customHeight="1">
      <x:c r="A95" s="69" t="str">
        <x:v>W10</x:v>
      </x:c>
      <x:c r="B95" s="69" t="str">
        <x:v>現代オフィス</x:v>
      </x:c>
      <x:c r="C95" s="69" t="str">
        <x:v>The Performance Review Dispute</x:v>
      </x:c>
      <x:c r="D95" s="69" t="str">
        <x:v>評価が食い違う一対一</x:v>
      </x:c>
      <x:c r="E95" s="69" t="str">
        <x:v>Present day; a scheduled one-on-one after an unexpectedly low rating. No supernatural rule is added.</x:v>
      </x:c>
      <x:c r="F95" s="69" t="str">
        <x:v>the employee contesting the review</x:v>
      </x:c>
      <x:c r="G95" s="69" t="str">
        <x:v>Sofia Grant, your manager who believes the rating is fair</x:v>
      </x:c>
      <x:c r="H95" s="69" t="str">
        <x:v>Sol</x:v>
      </x:c>
      <x:c r="I95" s="69" t="str">
        <x:v>こなれて落ち着く。交渉、駆け引き、仕事に合う</x:v>
      </x:c>
      <x:c r="J95" s="69" t="str">
        <x:v>B1–C1</x:v>
      </x:c>
      <x:c r="K95" s="69" t="str">
        <x:v>ふつう</x:v>
      </x:c>
      <x:c r="L95" s="69" t="str">
        <x:v>2〜3文で自然に受け答え</x:v>
      </x:c>
      <x:c r="M95" s="69" t="str">
        <x:v>clarifying criteria and advocating for yourself</x:v>
      </x:c>
      <x:c r="N95" s="69" t="str">
        <x:v>one-to-one; the rating affects your; clarifying criteria</x:v>
      </x:c>
      <x:c r="O95" s="69" t="str">
        <x:v>contemporary, professional, and emotionally grounded</x:v>
      </x:c>
      <x:c r="P95" s="71" t="n">
        <x:v>12</x:v>
      </x:c>
      <x:c r="Q95" s="69" t="str">
        <x:v>compare evidence and define measurable next steps</x:v>
      </x:c>
      <x:c r="R95" s="69" t="str">
        <x:v>the rating affects your visa sponsorship decision this week</x:v>
      </x:c>
      <x:c r="S95" s="69" t="str">
        <x:v>Green</x:v>
      </x:c>
      <x:c r="T95" s="69" t="str">
        <x:v>IES_v10_8_02_SCENE_CARDS.md#W10</x:v>
      </x:c>
      <x:c r="U95" s="69" t="str">
        <x:v>評価が食い違う一対一</x:v>
      </x:c>
      <x:c r="V95" s="69" t="str">
        <x:v>Sofia Grant pushes on "the rating affects your visa sponsorship", and the whole exchange turns on clarifying criteria and advocating.</x:v>
      </x:c>
      <x:c r="W95" s="69" t="str">
        <x:v>practical</x:v>
      </x:c>
    </x:row>
    <x:row r="96" ht="44" customHeight="1">
      <x:c r="A96" s="69" t="str">
        <x:v>W11</x:v>
      </x:c>
      <x:c r="B96" s="69" t="str">
        <x:v>現代オフィス</x:v>
      </x:c>
      <x:c r="C96" s="69" t="str">
        <x:v>After the Acquisition</x:v>
      </x:c>
      <x:c r="D96" s="69" t="str">
        <x:v>買収後の最初の会話</x:v>
      </x:c>
      <x:c r="E96" s="69" t="str">
        <x:v>Present day; a nearly empty office on the day a larger company takes control. No supernatural rule is added.</x:v>
      </x:c>
      <x:c r="F96" s="69" t="str">
        <x:v>the founder whose role is now uncertain</x:v>
      </x:c>
      <x:c r="G96" s="69" t="str">
        <x:v>Isabel Torres, the acquiring company's integration lead</x:v>
      </x:c>
      <x:c r="H96" s="69" t="str">
        <x:v>Sol</x:v>
      </x:c>
      <x:c r="I96" s="69" t="str">
        <x:v>こなれて落ち着く。交渉、駆け引き、仕事に合う</x:v>
      </x:c>
      <x:c r="J96" s="69" t="str">
        <x:v>B2–C1</x:v>
      </x:c>
      <x:c r="K96" s="69" t="str">
        <x:v>しっかり</x:v>
      </x:c>
      <x:c r="L96" s="69" t="str">
        <x:v>理由説明や交渉まで</x:v>
      </x:c>
      <x:c r="M96" s="69" t="str">
        <x:v>role clarification and conditional agreement</x:v>
      </x:c>
      <x:c r="N96" s="69" t="str">
        <x:v>one-to-one; isabel needs a decision; role clarification</x:v>
      </x:c>
      <x:c r="O96" s="69" t="str">
        <x:v>contemporary, professional, and emotionally grounded</x:v>
      </x:c>
      <x:c r="P96" s="71" t="n">
        <x:v>15</x:v>
      </x:c>
      <x:c r="Q96" s="69" t="str">
        <x:v>protect the team's core work while clarifying your own authority</x:v>
      </x:c>
      <x:c r="R96" s="69" t="str">
        <x:v>Isabel needs a decision before the announcement goes public</x:v>
      </x:c>
      <x:c r="S96" s="69" t="str">
        <x:v>Green</x:v>
      </x:c>
      <x:c r="T96" s="69" t="str">
        <x:v>IES_v10_8_02_SCENE_CARDS.md#W11</x:v>
      </x:c>
      <x:c r="U96" s="69" t="str">
        <x:v>買収後の最初の会話</x:v>
      </x:c>
      <x:c r="V96" s="69" t="str">
        <x:v>Isabel Torres pushes on "isabel needs a decision before the", and the whole exchange turns on role clarification and conditional.</x:v>
      </x:c>
      <x:c r="W96" s="69" t="str">
        <x:v>practical</x:v>
      </x:c>
    </x:row>
    <x:row r="97" ht="44" customHeight="1">
      <x:c r="A97" s="69" t="str">
        <x:v>W12</x:v>
      </x:c>
      <x:c r="B97" s="69" t="str">
        <x:v>現代オフィス</x:v>
      </x:c>
      <x:c r="C97" s="69" t="str">
        <x:v>The Hire from the Rival Firm</x:v>
      </x:c>
      <x:c r="D97" s="69" t="str">
        <x:v>競合から来た新しい相棒</x:v>
      </x:c>
      <x:c r="E97" s="69" t="str">
        <x:v>Present day; a consulting office before a joint client workshop. No supernatural rule is added.</x:v>
      </x:c>
      <x:c r="F97" s="69" t="str">
        <x:v>the consultant assigned to work with a former competitor</x:v>
      </x:c>
      <x:c r="G97" s="69" t="str">
        <x:v>Leila Morgan, a renowned strategist you once publicly criticized</x:v>
      </x:c>
      <x:c r="H97" s="69" t="str">
        <x:v>Sol</x:v>
      </x:c>
      <x:c r="I97" s="69" t="str">
        <x:v>こなれて落ち着く。交渉、駆け引き、仕事に合う</x:v>
      </x:c>
      <x:c r="J97" s="69" t="str">
        <x:v>B1–B2</x:v>
      </x:c>
      <x:c r="K97" s="69" t="str">
        <x:v>ふつう</x:v>
      </x:c>
      <x:c r="L97" s="69" t="str">
        <x:v>2〜3文で自然に受け答え</x:v>
      </x:c>
      <x:c r="M97" s="69" t="str">
        <x:v>professional trust-building and division of roles</x:v>
      </x:c>
      <x:c r="N97" s="69" t="str">
        <x:v>one-to-one; the client expects visible; professional trust-building</x:v>
      </x:c>
      <x:c r="O97" s="69" t="str">
        <x:v>contemporary, professional, and emotionally grounded</x:v>
      </x:c>
      <x:c r="P97" s="71" t="n">
        <x:v>12</x:v>
      </x:c>
      <x:c r="Q97" s="69" t="str">
        <x:v>establish working rules and decide who leads which part</x:v>
      </x:c>
      <x:c r="R97" s="69" t="str">
        <x:v>the client expects visible unity in one hour</x:v>
      </x:c>
      <x:c r="S97" s="69" t="str">
        <x:v>Green</x:v>
      </x:c>
      <x:c r="T97" s="69" t="str">
        <x:v>IES_v10_8_02_SCENE_CARDS.md#W12</x:v>
      </x:c>
      <x:c r="U97" s="69" t="str">
        <x:v>競合から来た新しい相棒</x:v>
      </x:c>
      <x:c r="V97" s="69" t="str">
        <x:v>Leila Morgan pushes on "the client expects visible unity in", and the whole exchange turns on professional trust-building and division.</x:v>
      </x:c>
      <x:c r="W97" s="69" t="str">
        <x:v>practical</x:v>
      </x:c>
    </x:row>
    <x:row r="98" ht="44" customHeight="1">
      <x:c r="A98" s="69" t="str">
        <x:v>W13</x:v>
      </x:c>
      <x:c r="B98" s="69" t="str">
        <x:v>現代オフィス</x:v>
      </x:c>
      <x:c r="C98" s="69" t="str">
        <x:v>The AI-Written Apology</x:v>
      </x:c>
      <x:c r="D98" s="69" t="str">
        <x:v>AIが書いた謝罪文</x:v>
      </x:c>
      <x:c r="E98" s="69" t="str">
        <x:v>Present day; a communications office after an automated email offended major customers. No supernatural rule is added.</x:v>
      </x:c>
      <x:c r="F98" s="69" t="str">
        <x:v>the staff member who approved the message</x:v>
      </x:c>
      <x:c r="G98" s="69" t="str">
        <x:v>Yuna Patel, the communications director reviewing the incident</x:v>
      </x:c>
      <x:c r="H98" s="69" t="str">
        <x:v>Sol</x:v>
      </x:c>
      <x:c r="I98" s="69" t="str">
        <x:v>こなれて落ち着く。交渉、駆け引き、仕事に合う</x:v>
      </x:c>
      <x:c r="J98" s="69" t="str">
        <x:v>B1–C1</x:v>
      </x:c>
      <x:c r="K98" s="69" t="str">
        <x:v>ふつう</x:v>
      </x:c>
      <x:c r="L98" s="69" t="str">
        <x:v>2〜3文で自然に受け答え</x:v>
      </x:c>
      <x:c r="M98" s="69" t="str">
        <x:v>accountability and process design</x:v>
      </x:c>
      <x:c r="N98" s="69" t="str">
        <x:v>one-to-one; the company wants to; accountability</x:v>
      </x:c>
      <x:c r="O98" s="69" t="str">
        <x:v>contemporary, professional, and emotionally grounded</x:v>
      </x:c>
      <x:c r="P98" s="71" t="n">
        <x:v>12</x:v>
      </x:c>
      <x:c r="Q98" s="69" t="str">
        <x:v>take responsibility and design a human review process</x:v>
      </x:c>
      <x:c r="R98" s="69" t="str">
        <x:v>the company wants to blame the software publicly</x:v>
      </x:c>
      <x:c r="S98" s="69" t="str">
        <x:v>Green</x:v>
      </x:c>
      <x:c r="T98" s="69" t="str">
        <x:v>IES_v10_8_02_SCENE_CARDS.md#W13</x:v>
      </x:c>
      <x:c r="U98" s="69" t="str">
        <x:v>AIが書いた謝罪文</x:v>
      </x:c>
      <x:c r="V98" s="69" t="str">
        <x:v>Yuna Patel pushes on "the company wants to blame the", and the whole exchange turns on accountability and process design.</x:v>
      </x:c>
      <x:c r="W98" s="69" t="str">
        <x:v>practical</x:v>
      </x:c>
    </x:row>
    <x:row r="99" ht="44" customHeight="1">
      <x:c r="A99" s="69" t="str">
        <x:v>W14</x:v>
      </x:c>
      <x:c r="B99" s="69" t="str">
        <x:v>現代オフィス</x:v>
      </x:c>
      <x:c r="C99" s="69" t="str">
        <x:v>The Side Job Disclosure</x:v>
      </x:c>
      <x:c r="D99" s="69" t="str">
        <x:v>秘密の副業が見つかった日</x:v>
      </x:c>
      <x:c r="E99" s="69" t="str">
        <x:v>Present day; a private meeting after your public creative work was linked to your real name. No supernatural rule is added.</x:v>
      </x:c>
      <x:c r="F99" s="69" t="str">
        <x:v>an employee whose side business may conflict with policy</x:v>
      </x:c>
      <x:c r="G99" s="69" t="str">
        <x:v>Grace Kim, the compliance manager and longtime mentor</x:v>
      </x:c>
      <x:c r="H99" s="69" t="str">
        <x:v>Sol</x:v>
      </x:c>
      <x:c r="I99" s="69" t="str">
        <x:v>こなれて落ち着く。交渉、駆け引き、仕事に合う</x:v>
      </x:c>
      <x:c r="J99" s="69" t="str">
        <x:v>B1–B2</x:v>
      </x:c>
      <x:c r="K99" s="69" t="str">
        <x:v>ふつう</x:v>
      </x:c>
      <x:c r="L99" s="69" t="str">
        <x:v>2〜3文で自然に受け答え</x:v>
      </x:c>
      <x:c r="M99" s="69" t="str">
        <x:v>disclosure and policy negotiation</x:v>
      </x:c>
      <x:c r="N99" s="69" t="str">
        <x:v>one-to-one; automatic suspension begins unless; disclosure</x:v>
      </x:c>
      <x:c r="O99" s="69" t="str">
        <x:v>contemporary, professional, and emotionally grounded</x:v>
      </x:c>
      <x:c r="P99" s="71" t="n">
        <x:v>12</x:v>
      </x:c>
      <x:c r="Q99" s="69" t="str">
        <x:v>explain the work, disclose conflicts, and negotiate safeguards</x:v>
      </x:c>
      <x:c r="R99" s="69" t="str">
        <x:v>automatic suspension begins unless Grace records a decision today</x:v>
      </x:c>
      <x:c r="S99" s="69" t="str">
        <x:v>Green</x:v>
      </x:c>
      <x:c r="T99" s="69" t="str">
        <x:v>IES_v10_8_02_SCENE_CARDS.md#W14</x:v>
      </x:c>
      <x:c r="U99" s="69" t="str">
        <x:v>秘密の副業が見つかった日</x:v>
      </x:c>
      <x:c r="V99" s="69" t="str">
        <x:v>Grace Kim pushes on "automatic suspension begins unless grace records", and the whole exchange turns on disclosure and policy negotiation.</x:v>
      </x:c>
      <x:c r="W99" s="69" t="str">
        <x:v>practical</x:v>
      </x:c>
    </x:row>
    <x:row r="100" ht="44" customHeight="1">
      <x:c r="A100" s="69" t="str">
        <x:v>W15</x:v>
      </x:c>
      <x:c r="B100" s="69" t="str">
        <x:v>現代オフィス</x:v>
      </x:c>
      <x:c r="C100" s="69" t="str">
        <x:v>Five Minutes to Negotiate</x:v>
      </x:c>
      <x:c r="D100" s="69" t="str">
        <x:v>給与交渉、最後の五分</x:v>
      </x:c>
      <x:c r="E100" s="69" t="str">
        <x:v>Present day; a hiring call at the end of a long recruitment process. No supernatural rule is added.</x:v>
      </x:c>
      <x:c r="F100" s="69" t="str">
        <x:v>the candidate receiving a final offer</x:v>
      </x:c>
      <x:c r="G100" s="69" t="str">
        <x:v>Valerie Stone, the hiring director with limited budget authority</x:v>
      </x:c>
      <x:c r="H100" s="69" t="str">
        <x:v>Sol</x:v>
      </x:c>
      <x:c r="I100" s="69" t="str">
        <x:v>こなれて落ち着く。交渉、駆け引き、仕事に合う</x:v>
      </x:c>
      <x:c r="J100" s="69" t="str">
        <x:v>B1–C1</x:v>
      </x:c>
      <x:c r="K100" s="69" t="str">
        <x:v>ふつう</x:v>
      </x:c>
      <x:c r="L100" s="69" t="str">
        <x:v>2〜3文で自然に受け答え</x:v>
      </x:c>
      <x:c r="M100" s="69" t="str">
        <x:v>salary negotiation and tradeoffs</x:v>
      </x:c>
      <x:c r="N100" s="69" t="str">
        <x:v>one-to-one; the offer expires when; salary negotiation</x:v>
      </x:c>
      <x:c r="O100" s="69" t="str">
        <x:v>contemporary, professional, and emotionally grounded</x:v>
      </x:c>
      <x:c r="P100" s="71" t="n">
        <x:v>10</x:v>
      </x:c>
      <x:c r="Q100" s="69" t="str">
        <x:v>negotiate compensation, flexibility, and review timing</x:v>
      </x:c>
      <x:c r="R100" s="69" t="str">
        <x:v>the offer expires when the call ends</x:v>
      </x:c>
      <x:c r="S100" s="69" t="str">
        <x:v>Green</x:v>
      </x:c>
      <x:c r="T100" s="69" t="str">
        <x:v>IES_v10_8_02_SCENE_CARDS.md#W15</x:v>
      </x:c>
      <x:c r="U100" s="69" t="str">
        <x:v>給与交渉、最後の五分</x:v>
      </x:c>
      <x:c r="V100" s="69" t="str">
        <x:v>Valerie Stone pushes on "the offer expires when the call", and the whole exchange turns on salary negotiation and tradeoffs.</x:v>
      </x:c>
      <x:c r="W100" s="69" t="str">
        <x:v>practical</x:v>
      </x:c>
    </x:row>
    <x:row r="101" ht="44" customHeight="1">
      <x:c r="A101" s="69" t="str">
        <x:v>W16</x:v>
      </x:c>
      <x:c r="B101" s="69" t="str">
        <x:v>現代オフィス</x:v>
      </x:c>
      <x:c r="C101" s="69" t="str">
        <x:v>Before You Report It</x:v>
      </x:c>
      <x:c r="D101" s="69" t="str">
        <x:v>社内告発の相談</x:v>
      </x:c>
      <x:c r="E101" s="69" t="str">
        <x:v>Present day; a private office after you notice manipulated sales figures. No supernatural rule is added.</x:v>
      </x:c>
      <x:c r="F101" s="69" t="str">
        <x:v>the analyst deciding whether to file a formal report</x:v>
      </x:c>
      <x:c r="G101" s="69" t="str">
        <x:v>Renee Alvarez, the internal investigator assigned to advise you</x:v>
      </x:c>
      <x:c r="H101" s="69" t="str">
        <x:v>Sol</x:v>
      </x:c>
      <x:c r="I101" s="69" t="str">
        <x:v>こなれて落ち着く。交渉、駆け引き、仕事に合う</x:v>
      </x:c>
      <x:c r="J101" s="69" t="str">
        <x:v>B2–C1</x:v>
      </x:c>
      <x:c r="K101" s="69" t="str">
        <x:v>しっかり</x:v>
      </x:c>
      <x:c r="L101" s="69" t="str">
        <x:v>理由説明や交渉まで</x:v>
      </x:c>
      <x:c r="M101" s="69" t="str">
        <x:v>evidence description and risk questions</x:v>
      </x:c>
      <x:c r="N101" s="69" t="str">
        <x:v>one-to-one; the figures will be; evidence description</x:v>
      </x:c>
      <x:c r="O101" s="69" t="str">
        <x:v>contemporary, professional, and emotionally grounded</x:v>
      </x:c>
      <x:c r="P101" s="71" t="n">
        <x:v>15</x:v>
      </x:c>
      <x:c r="Q101" s="69" t="str">
        <x:v>separate facts from suspicions and understand protections</x:v>
      </x:c>
      <x:c r="R101" s="69" t="str">
        <x:v>the figures will be submitted to regulators tomorrow</x:v>
      </x:c>
      <x:c r="S101" s="69" t="str">
        <x:v>Green</x:v>
      </x:c>
      <x:c r="T101" s="69" t="str">
        <x:v>IES_v10_8_02_SCENE_CARDS.md#W16</x:v>
      </x:c>
      <x:c r="U101" s="69" t="str">
        <x:v>社内告発の相談</x:v>
      </x:c>
      <x:c r="V101" s="69" t="str">
        <x:v>Renee Alvarez pushes on "the figures will be submitted to", and the whole exchange turns on evidence description and risk.</x:v>
      </x:c>
      <x:c r="W101" s="69" t="str">
        <x:v>practical</x:v>
      </x:c>
    </x:row>
    <x:row r="102" ht="44" customHeight="1">
      <x:c r="A102" s="69" t="str">
        <x:v>W17</x:v>
      </x:c>
      <x:c r="B102" s="69" t="str">
        <x:v>現代オフィス</x:v>
      </x:c>
      <x:c r="C102" s="69" t="str">
        <x:v>The Cofounder's Pivot</x:v>
      </x:c>
      <x:c r="D102" s="69" t="str">
        <x:v>共同創業者の方向転換</x:v>
      </x:c>
      <x:c r="E102" s="69" t="str">
        <x:v>Present day; a late-night startup workspace after a surprise product pivot. No supernatural rule is added.</x:v>
      </x:c>
      <x:c r="F102" s="69" t="str">
        <x:v>the cofounder responsible for current customers</x:v>
      </x:c>
      <x:c r="G102" s="69" t="str">
        <x:v>Diana Wells, your visionary but impatient cofounder</x:v>
      </x:c>
      <x:c r="H102" s="69" t="str">
        <x:v>Sol</x:v>
      </x:c>
      <x:c r="I102" s="69" t="str">
        <x:v>こなれて落ち着く。交渉、駆け引き、仕事に合う</x:v>
      </x:c>
      <x:c r="J102" s="69" t="str">
        <x:v>B2–C1</x:v>
      </x:c>
      <x:c r="K102" s="69" t="str">
        <x:v>しっかり</x:v>
      </x:c>
      <x:c r="L102" s="69" t="str">
        <x:v>理由説明や交渉まで</x:v>
      </x:c>
      <x:c r="M102" s="69" t="str">
        <x:v>strategic questioning and phased planning</x:v>
      </x:c>
      <x:c r="N102" s="69" t="str">
        <x:v>one-to-one; diana has already promised; strategic questioning</x:v>
      </x:c>
      <x:c r="O102" s="69" t="str">
        <x:v>contemporary, professional, and emotionally grounded</x:v>
      </x:c>
      <x:c r="P102" s="71" t="n">
        <x:v>15</x:v>
      </x:c>
      <x:c r="Q102" s="69" t="str">
        <x:v>test the new idea without abandoning existing commitments</x:v>
      </x:c>
      <x:c r="R102" s="69" t="str">
        <x:v>Diana has already promised the pivot to investors</x:v>
      </x:c>
      <x:c r="S102" s="69" t="str">
        <x:v>Green</x:v>
      </x:c>
      <x:c r="T102" s="69" t="str">
        <x:v>IES_v10_8_02_SCENE_CARDS.md#W17</x:v>
      </x:c>
      <x:c r="U102" s="69" t="str">
        <x:v>共同創業者の方向転換</x:v>
      </x:c>
      <x:c r="V102" s="69" t="str">
        <x:v>Diana Wells pushes on "diana has already promised the pivot", and the whole exchange turns on strategic questioning and phased.</x:v>
      </x:c>
      <x:c r="W102" s="69" t="str">
        <x:v>practical</x:v>
      </x:c>
    </x:row>
    <x:row r="103" ht="44" customHeight="1">
      <x:c r="A103" s="69" t="str">
        <x:v>W18</x:v>
      </x:c>
      <x:c r="B103" s="69" t="str">
        <x:v>現代オフィス</x:v>
      </x:c>
      <x:c r="C103" s="69" t="str">
        <x:v>The Mistake Before the Conference</x:v>
      </x:c>
      <x:c r="D103" s="69" t="str">
        <x:v>出張中の重大ミス</x:v>
      </x:c>
      <x:c r="E103" s="69" t="str">
        <x:v>Present day; a hotel business lounge before an international conference. No supernatural rule is added.</x:v>
      </x:c>
      <x:c r="F103" s="69" t="str">
        <x:v>the employee who sent confidential slides to the wrong recipient</x:v>
      </x:c>
      <x:c r="G103" s="69" t="str">
        <x:v>Amara Jones, your legal and business partner on the trip</x:v>
      </x:c>
      <x:c r="H103" s="69" t="str">
        <x:v>Sol</x:v>
      </x:c>
      <x:c r="I103" s="69" t="str">
        <x:v>こなれて落ち着く。交渉、駆け引き、仕事に合う</x:v>
      </x:c>
      <x:c r="J103" s="69" t="str">
        <x:v>B1–C1</x:v>
      </x:c>
      <x:c r="K103" s="69" t="str">
        <x:v>ふつう</x:v>
      </x:c>
      <x:c r="L103" s="69" t="str">
        <x:v>2〜3文で自然に受け答え</x:v>
      </x:c>
      <x:c r="M103" s="69" t="str">
        <x:v>crisis communication and sequencing</x:v>
      </x:c>
      <x:c r="N103" s="69" t="str">
        <x:v>one-to-one; the accidental recipient is; crisis communication</x:v>
      </x:c>
      <x:c r="O103" s="69" t="str">
        <x:v>contemporary, professional, and emotionally grounded</x:v>
      </x:c>
      <x:c r="P103" s="71" t="n">
        <x:v>12</x:v>
      </x:c>
      <x:c r="Q103" s="69" t="str">
        <x:v>contain the leak and decide whom to notify first</x:v>
      </x:c>
      <x:c r="R103" s="69" t="str">
        <x:v>the accidental recipient is presenting against you this afternoon</x:v>
      </x:c>
      <x:c r="S103" s="69" t="str">
        <x:v>Green</x:v>
      </x:c>
      <x:c r="T103" s="69" t="str">
        <x:v>IES_v10_8_02_SCENE_CARDS.md#W18</x:v>
      </x:c>
      <x:c r="U103" s="69" t="str">
        <x:v>出張中の重大ミス</x:v>
      </x:c>
      <x:c r="V103" s="69" t="str">
        <x:v>Amara Jones pushes on "the accidental recipient is presenting against", and the whole exchange turns on crisis communication and sequencing.</x:v>
      </x:c>
      <x:c r="W103" s="69" t="str">
        <x:v>practical</x:v>
      </x:c>
    </x:row>
    <x:row r="104" ht="44" customHeight="1">
      <x:c r="A104" s="69" t="str">
        <x:v>W19</x:v>
      </x:c>
      <x:c r="B104" s="69" t="str">
        <x:v>現代オフィス</x:v>
      </x:c>
      <x:c r="C104" s="69" t="str">
        <x:v>The Junior Mentor</x:v>
      </x:c>
      <x:c r="D104" s="69" t="str">
        <x:v>後輩からの逆メンタリング</x:v>
      </x:c>
      <x:c r="E104" s="69" t="str">
        <x:v>Present day; a monthly mentoring session with the roles unexpectedly reversed. No supernatural rule is added.</x:v>
      </x:c>
      <x:c r="F104" s="69" t="str">
        <x:v>a senior employee learning a new platform</x:v>
      </x:c>
      <x:c r="G104" s="69" t="str">
        <x:v>Keiko Adams, the junior colleague assigned to coach you</x:v>
      </x:c>
      <x:c r="H104" s="69" t="str">
        <x:v>Sol</x:v>
      </x:c>
      <x:c r="I104" s="69" t="str">
        <x:v>こなれて落ち着く。交渉、駆け引き、仕事に合う</x:v>
      </x:c>
      <x:c r="J104" s="69" t="str">
        <x:v>A2–B1</x:v>
      </x:c>
      <x:c r="K104" s="69" t="str">
        <x:v>やさしい</x:v>
      </x:c>
      <x:c r="L104" s="69" t="str">
        <x:v>短い返事でOK。選択肢や言い換えあり</x:v>
      </x:c>
      <x:c r="M104" s="69" t="str">
        <x:v>learning requests and checking understanding</x:v>
      </x:c>
      <x:c r="N104" s="69" t="str">
        <x:v>one-to-one; your upcoming presentation depends; learning requests</x:v>
      </x:c>
      <x:c r="O104" s="69" t="str">
        <x:v>contemporary, professional, and emotionally grounded</x:v>
      </x:c>
      <x:c r="P104" s="71" t="n">
        <x:v>10</x:v>
      </x:c>
      <x:c r="Q104" s="69" t="str">
        <x:v>ask for help without defensiveness and establish mutual respect</x:v>
      </x:c>
      <x:c r="R104" s="69" t="str">
        <x:v>your upcoming presentation depends on mastering the tool today</x:v>
      </x:c>
      <x:c r="S104" s="69" t="str">
        <x:v>Green</x:v>
      </x:c>
      <x:c r="T104" s="69" t="str">
        <x:v>IES_v10_8_02_SCENE_CARDS.md#W19</x:v>
      </x:c>
      <x:c r="U104" s="69" t="str">
        <x:v>後輩からの逆メンタリング</x:v>
      </x:c>
      <x:c r="V104" s="69" t="str">
        <x:v>Keiko Adams pushes on "your upcoming presentation depends on mastering", and the whole exchange turns on learning requests and checking.</x:v>
      </x:c>
      <x:c r="W104" s="69" t="str">
        <x:v>practical</x:v>
      </x:c>
    </x:row>
    <x:row r="105" ht="44" customHeight="1">
      <x:c r="A105" s="69" t="str">
        <x:v>W20</x:v>
      </x:c>
      <x:c r="B105" s="69" t="str">
        <x:v>現代オフィス</x:v>
      </x:c>
      <x:c r="C105" s="69" t="str">
        <x:v>Credit for the Idea</x:v>
      </x:c>
      <x:c r="D105" s="69" t="str">
        <x:v>会議で奪われたアイデア</x:v>
      </x:c>
      <x:c r="E105" s="69" t="str">
        <x:v>Present day; a hallway after someone else presented your proposal as their own. No supernatural rule is added.</x:v>
      </x:c>
      <x:c r="F105" s="69" t="str">
        <x:v>the original author of the proposal</x:v>
      </x:c>
      <x:c r="G105" s="69" t="str">
        <x:v>Fatima Green, the colleague who used your work without attribution</x:v>
      </x:c>
      <x:c r="H105" s="69" t="str">
        <x:v>Sol</x:v>
      </x:c>
      <x:c r="I105" s="69" t="str">
        <x:v>こなれて落ち着く。交渉、駆け引き、仕事に合う</x:v>
      </x:c>
      <x:c r="J105" s="69" t="str">
        <x:v>B1–B2</x:v>
      </x:c>
      <x:c r="K105" s="69" t="str">
        <x:v>ふつう</x:v>
      </x:c>
      <x:c r="L105" s="69" t="str">
        <x:v>2〜3文で自然に受け答え</x:v>
      </x:c>
      <x:c r="M105" s="69" t="str">
        <x:v>assertive confrontation and repair</x:v>
      </x:c>
      <x:c r="N105" s="69" t="str">
        <x:v>one-to-one; a public accusation could; assertive confrontation</x:v>
      </x:c>
      <x:c r="O105" s="69" t="str">
        <x:v>contemporary, professional, and emotionally grounded</x:v>
      </x:c>
      <x:c r="P105" s="71" t="n">
        <x:v>10</x:v>
      </x:c>
      <x:c r="Q105" s="69" t="str">
        <x:v>confront the issue and agree on a correction before leadership votes</x:v>
      </x:c>
      <x:c r="R105" s="69" t="str">
        <x:v>a public accusation could sink the proposal entirely</x:v>
      </x:c>
      <x:c r="S105" s="69" t="str">
        <x:v>Green</x:v>
      </x:c>
      <x:c r="T105" s="69" t="str">
        <x:v>IES_v10_8_02_SCENE_CARDS.md#W20</x:v>
      </x:c>
      <x:c r="U105" s="69" t="str">
        <x:v>会議で奪われたアイデア</x:v>
      </x:c>
      <x:c r="V105" s="69" t="str">
        <x:v>Fatima Green pushes on "a public accusation could sink the", and the whole exchange turns on assertive confrontation and repair.</x:v>
      </x:c>
      <x:c r="W105" s="69" t="str">
        <x:v>practical</x:v>
      </x:c>
    </x:row>
    <x:row r="106" ht="44" customHeight="1">
      <x:c r="A106" s="69" t="str">
        <x:v>W21</x:v>
      </x:c>
      <x:c r="B106" s="69" t="str">
        <x:v>現代オフィス</x:v>
      </x:c>
      <x:c r="C106" s="69" t="str">
        <x:v>Across the Time Zones</x:v>
      </x:c>
      <x:c r="D106" s="69" t="str">
        <x:v>海外チームとの責任境界</x:v>
      </x:c>
      <x:c r="E106" s="69" t="str">
        <x:v>Present day; a handoff call after a production incident bounced between regions. No supernatural rule is added.</x:v>
      </x:c>
      <x:c r="F106" s="69" t="str">
        <x:v>the on-call lead for one region</x:v>
      </x:c>
      <x:c r="G106" s="69" t="str">
        <x:v>Lucia Meyer, the lead for the next time zone</x:v>
      </x:c>
      <x:c r="H106" s="69" t="str">
        <x:v>Sol</x:v>
      </x:c>
      <x:c r="I106" s="69" t="str">
        <x:v>こなれて落ち着く。交渉、駆け引き、仕事に合う</x:v>
      </x:c>
      <x:c r="J106" s="69" t="str">
        <x:v>B1–B2</x:v>
      </x:c>
      <x:c r="K106" s="69" t="str">
        <x:v>ふつう</x:v>
      </x:c>
      <x:c r="L106" s="69" t="str">
        <x:v>2〜3文で自然に受け答え</x:v>
      </x:c>
      <x:c r="M106" s="69" t="str">
        <x:v>operational handoff and precise commitments</x:v>
      </x:c>
      <x:c r="N106" s="69" t="str">
        <x:v>one-to-one; another outage is likely; operational handoff</x:v>
      </x:c>
      <x:c r="O106" s="69" t="str">
        <x:v>contemporary, professional, and emotionally grounded</x:v>
      </x:c>
      <x:c r="P106" s="71" t="n">
        <x:v>12</x:v>
      </x:c>
      <x:c r="Q106" s="69" t="str">
        <x:v>define ownership, escalation rules, and a clean handoff</x:v>
      </x:c>
      <x:c r="R106" s="69" t="str">
        <x:v>another outage is likely during the next six hours</x:v>
      </x:c>
      <x:c r="S106" s="69" t="str">
        <x:v>Green</x:v>
      </x:c>
      <x:c r="T106" s="69" t="str">
        <x:v>IES_v10_8_02_SCENE_CARDS.md#W21</x:v>
      </x:c>
      <x:c r="U106" s="69" t="str">
        <x:v>海外チームとの責任境界</x:v>
      </x:c>
      <x:c r="V106" s="69" t="str">
        <x:v>Lucia Meyer pushes on "another outage is likely during the", and the whole exchange turns on operational handoff and precise.</x:v>
      </x:c>
      <x:c r="W106" s="69" t="str">
        <x:v>practical</x:v>
      </x:c>
    </x:row>
    <x:row r="107" ht="44" customHeight="1">
      <x:c r="A107" s="69" t="str">
        <x:v>W22</x:v>
      </x:c>
      <x:c r="B107" s="69" t="str">
        <x:v>現代オフィス</x:v>
      </x:c>
      <x:c r="C107" s="69" t="str">
        <x:v>The Presentation You Must Stop</x:v>
      </x:c>
      <x:c r="D107" s="69" t="str">
        <x:v>撤回するプレゼン</x:v>
      </x:c>
      <x:c r="E107" s="69" t="str">
        <x:v>Present day; a conference backstage minutes before a keynote. No supernatural rule is added.</x:v>
      </x:c>
      <x:c r="F107" s="69" t="str">
        <x:v>the researcher who discovered a fatal flaw in the announced results</x:v>
      </x:c>
      <x:c r="G107" s="69" t="str">
        <x:v>Bethany Ross, the executive sponsor whose reputation depends on the talk</x:v>
      </x:c>
      <x:c r="H107" s="69" t="str">
        <x:v>Breeze</x:v>
      </x:c>
      <x:c r="I107" s="69" t="str">
        <x:v>表情豊かで真剣。緊迫、怪異、冒険に合う</x:v>
      </x:c>
      <x:c r="J107" s="69" t="str">
        <x:v>B2–C1</x:v>
      </x:c>
      <x:c r="K107" s="69" t="str">
        <x:v>しっかり</x:v>
      </x:c>
      <x:c r="L107" s="69" t="str">
        <x:v>理由説明や交渉まで</x:v>
      </x:c>
      <x:c r="M107" s="69" t="str">
        <x:v>urgent persuasion and evidence</x:v>
      </x:c>
      <x:c r="N107" s="69" t="str">
        <x:v>one-to-one; thousands of viewers are; urgent persuasion</x:v>
      </x:c>
      <x:c r="O107" s="69" t="str">
        <x:v>contemporary, professional, and emotionally grounded</x:v>
      </x:c>
      <x:c r="P107" s="71" t="n">
        <x:v>12</x:v>
      </x:c>
      <x:c r="Q107" s="69" t="str">
        <x:v>persuade her to pause or revise the presentation</x:v>
      </x:c>
      <x:c r="R107" s="69" t="str">
        <x:v>thousands of viewers are already waiting online</x:v>
      </x:c>
      <x:c r="S107" s="69" t="str">
        <x:v>Green</x:v>
      </x:c>
      <x:c r="T107" s="69" t="str">
        <x:v>IES_v10_8_02_SCENE_CARDS.md#W22</x:v>
      </x:c>
      <x:c r="U107" s="69" t="str">
        <x:v>撤回するプレゼン</x:v>
      </x:c>
      <x:c r="V107" s="69" t="str">
        <x:v>Bethany Ross pushes on "thousands of viewers are already waiting", and the whole exchange turns on urgent persuasion and evidence.</x:v>
      </x:c>
      <x:c r="W107" s="69" t="str">
        <x:v>practical</x:v>
      </x:c>
    </x:row>
    <x:row r="108" ht="44" customHeight="1">
      <x:c r="A108" s="69" t="str">
        <x:v>W23</x:v>
      </x:c>
      <x:c r="B108" s="69" t="str">
        <x:v>現代オフィス</x:v>
      </x:c>
      <x:c r="C108" s="69" t="str">
        <x:v>The Auditor's Rounding Error</x:v>
      </x:c>
      <x:c r="D108" s="69" t="str">
        <x:v>監査人が見つけた端数</x:v>
      </x:c>
      <x:c r="E108" s="69" t="str">
        <x:v>Present day; a finance office two days before quarter close. No supernatural rule is added.</x:v>
      </x:c>
      <x:c r="F108" s="69" t="str">
        <x:v>the analyst who built the spreadsheet in question</x:v>
      </x:c>
      <x:c r="G108" s="69" t="str">
        <x:v>Odette Vance, the external auditor reviewing every formula</x:v>
      </x:c>
      <x:c r="H108" s="69" t="str">
        <x:v>Sol</x:v>
      </x:c>
      <x:c r="I108" s="69" t="str">
        <x:v>こなれて落ち着く。交渉、駆け引き、仕事に合う</x:v>
      </x:c>
      <x:c r="J108" s="69" t="str">
        <x:v>B1–B2</x:v>
      </x:c>
      <x:c r="K108" s="69" t="str">
        <x:v>ふつう</x:v>
      </x:c>
      <x:c r="L108" s="69" t="str">
        <x:v>2〜3文で自然に受け答え</x:v>
      </x:c>
      <x:c r="M108" s="69" t="str">
        <x:v>precise numerical explanation and calm accountability</x:v>
      </x:c>
      <x:c r="N108" s="69" t="str">
        <x:v>one-to-one; odette can escalate to; precise numerical explanation</x:v>
      </x:c>
      <x:c r="O108" s="69" t="str">
        <x:v>contemporary, professional, and emotionally grounded</x:v>
      </x:c>
      <x:c r="P108" s="71" t="n">
        <x:v>10</x:v>
      </x:c>
      <x:c r="Q108" s="69" t="str">
        <x:v>explain a small discrepancy before it is treated as a bigger problem</x:v>
      </x:c>
      <x:c r="R108" s="69" t="str">
        <x:v>Odette can escalate to a full re-audit if your answer sounds rehearsed</x:v>
      </x:c>
      <x:c r="S108" s="69" t="str">
        <x:v>Green</x:v>
      </x:c>
      <x:c r="T108" s="69" t="str">
        <x:v>IES_v10_8_02_SCENE_CARDS.md#W23</x:v>
      </x:c>
      <x:c r="U108" s="69" t="str">
        <x:v>監査人が見つけた端数</x:v>
      </x:c>
      <x:c r="V108" s="69" t="str">
        <x:v>Odette Vance pushes on "odette can escalate to a full", and the whole exchange turns on precise numerical explanation and.</x:v>
      </x:c>
      <x:c r="W108" s="69" t="str">
        <x:v>practical</x:v>
      </x:c>
    </x:row>
    <x:row r="109" ht="44" customHeight="1">
      <x:c r="A109" s="69" t="str">
        <x:v>W24</x:v>
      </x:c>
      <x:c r="B109" s="69" t="str">
        <x:v>現代オフィス</x:v>
      </x:c>
      <x:c r="C109" s="69" t="str">
        <x:v>The Handover Nobody Wrote Down</x:v>
      </x:c>
      <x:c r="D109" s="69" t="str">
        <x:v>退職者が持ち去った引き継ぎ</x:v>
      </x:c>
      <x:c r="E109" s="69" t="str">
        <x:v>Present day; an empty desk on a departed colleague's first missing day. No supernatural rule is added.</x:v>
      </x:c>
      <x:c r="F109" s="69" t="str">
        <x:v>the teammate assigned to reconstruct their undocumented process</x:v>
      </x:c>
      <x:c r="G109" s="69" t="str">
        <x:v>Petra Lin, the operations lead demanding a working system by Friday</x:v>
      </x:c>
      <x:c r="H109" s="69" t="str">
        <x:v>Sol</x:v>
      </x:c>
      <x:c r="I109" s="69" t="str">
        <x:v>こなれて落ち着く。交渉、駆け引き、仕事に合う</x:v>
      </x:c>
      <x:c r="J109" s="69" t="str">
        <x:v>B1–B2</x:v>
      </x:c>
      <x:c r="K109" s="69" t="str">
        <x:v>ふつう</x:v>
      </x:c>
      <x:c r="L109" s="69" t="str">
        <x:v>2〜3文で自然に受け答え</x:v>
      </x:c>
      <x:c r="M109" s="69" t="str">
        <x:v>reconstructive questioning and process documentation</x:v>
      </x:c>
      <x:c r="N109" s="69" t="str">
        <x:v>one-to-one; two client deliveries depend; reconstructive questioning</x:v>
      </x:c>
      <x:c r="O109" s="69" t="str">
        <x:v>contemporary, professional, and emotionally grounded</x:v>
      </x:c>
      <x:c r="P109" s="71" t="n">
        <x:v>12</x:v>
      </x:c>
      <x:c r="Q109" s="69" t="str">
        <x:v>interview absent evidence and rebuild a defensible process</x:v>
      </x:c>
      <x:c r="R109" s="69" t="str">
        <x:v>two client deliveries depend on a process only the departed person understood</x:v>
      </x:c>
      <x:c r="S109" s="69" t="str">
        <x:v>Green</x:v>
      </x:c>
      <x:c r="T109" s="69" t="str">
        <x:v>IES_v10_8_02_SCENE_CARDS.md#W24</x:v>
      </x:c>
      <x:c r="U109" s="69" t="str">
        <x:v>退職者が持ち去った引き継ぎ</x:v>
      </x:c>
      <x:c r="V109" s="69" t="str">
        <x:v>Petra Lin pushes on "two client deliveries depend on a", and the whole exchange turns on reconstructive questioning and process.</x:v>
      </x:c>
      <x:c r="W109" s="69" t="str">
        <x:v>practical</x:v>
      </x:c>
    </x:row>
    <x:row r="110" ht="44" customHeight="1">
      <x:c r="A110" s="69" t="str">
        <x:v>W25</x:v>
      </x:c>
      <x:c r="B110" s="69" t="str">
        <x:v>現代オフィス</x:v>
      </x:c>
      <x:c r="C110" s="69" t="str">
        <x:v>The Call to Decline the Offer</x:v>
      </x:c>
      <x:c r="D110" s="69" t="str">
        <x:v>内定辞退の電話</x:v>
      </x:c>
      <x:c r="E110" s="69" t="str">
        <x:v>Present day; a quiet room before a scheduled acceptance call. No supernatural rule is added.</x:v>
      </x:c>
      <x:c r="F110" s="69" t="str">
        <x:v>the candidate who has decided to decline a strong offer</x:v>
      </x:c>
      <x:c r="G110" s="69" t="str">
        <x:v>Recruiter Faye Ibarra, who fought internally to get this offer approved</x:v>
      </x:c>
      <x:c r="H110" s="69" t="str">
        <x:v>Sol</x:v>
      </x:c>
      <x:c r="I110" s="69" t="str">
        <x:v>こなれて落ち着く。交渉、駆け引き、仕事に合う</x:v>
      </x:c>
      <x:c r="J110" s="69" t="str">
        <x:v>A2–B1</x:v>
      </x:c>
      <x:c r="K110" s="69" t="str">
        <x:v>やさしい</x:v>
      </x:c>
      <x:c r="L110" s="69" t="str">
        <x:v>短い返事でOK。選択肢や言い換えあり</x:v>
      </x:c>
      <x:c r="M110" s="69" t="str">
        <x:v>polite refusal and relationship preservation</x:v>
      </x:c>
      <x:c r="N110" s="69" t="str">
        <x:v>one-to-one; faye mentions she vouched; polite refusal</x:v>
      </x:c>
      <x:c r="O110" s="69" t="str">
        <x:v>contemporary, professional, and emotionally grounded</x:v>
      </x:c>
      <x:c r="P110" s="71" t="n">
        <x:v>8</x:v>
      </x:c>
      <x:c r="Q110" s="69" t="str">
        <x:v>decline gracefully while preserving the professional relationship</x:v>
      </x:c>
      <x:c r="R110" s="69" t="str">
        <x:v>Faye mentions she vouched for you personally to the hiring committee</x:v>
      </x:c>
      <x:c r="S110" s="69" t="str">
        <x:v>Green</x:v>
      </x:c>
      <x:c r="T110" s="69" t="str">
        <x:v>IES_v10_8_02_SCENE_CARDS.md#W25</x:v>
      </x:c>
      <x:c r="U110" s="69" t="str">
        <x:v>内定辞退の電話</x:v>
      </x:c>
      <x:c r="V110" s="69" t="str">
        <x:v>Recruiter Faye Ibarra pushes on "faye mentions she vouched for you", and the whole exchange turns on polite refusal and relationship.</x:v>
      </x:c>
      <x:c r="W110" s="69" t="str">
        <x:v>practical</x:v>
      </x:c>
    </x:row>
    <x:row r="111" ht="44" customHeight="1">
      <x:c r="A111" s="69" t="str">
        <x:v>W26</x:v>
      </x:c>
      <x:c r="B111" s="69" t="str">
        <x:v>現代オフィス</x:v>
      </x:c>
      <x:c r="C111" s="69" t="str">
        <x:v>The Trademark Collision</x:v>
      </x:c>
      <x:c r="D111" s="69" t="str">
        <x:v>新製品名の商標衝突</x:v>
      </x:c>
      <x:c r="E111" s="69" t="str">
        <x:v>Present day; a legal-review call two days before a product name launches publicly. No supernatural rule is added.</x:v>
      </x:c>
      <x:c r="F111" s="69" t="str">
        <x:v>the brand manager who chose the disputed name</x:v>
      </x:c>
      <x:c r="G111" s="69" t="str">
        <x:v>Nora Kessler, in-house counsel who just found the conflict</x:v>
      </x:c>
      <x:c r="H111" s="69" t="str">
        <x:v>Sol</x:v>
      </x:c>
      <x:c r="I111" s="69" t="str">
        <x:v>こなれて落ち着く。交渉、駆け引き、仕事に合う</x:v>
      </x:c>
      <x:c r="J111" s="69" t="str">
        <x:v>B1–C1</x:v>
      </x:c>
      <x:c r="K111" s="69" t="str">
        <x:v>ふつう</x:v>
      </x:c>
      <x:c r="L111" s="69" t="str">
        <x:v>2〜3文で自然に受け答え</x:v>
      </x:c>
      <x:c r="M111" s="69" t="str">
        <x:v>risk explanation and decision framing</x:v>
      </x:c>
      <x:c r="N111" s="69" t="str">
        <x:v>one-to-one; marketing materials are already; risk explanation</x:v>
      </x:c>
      <x:c r="O111" s="69" t="str">
        <x:v>contemporary, professional, and emotionally grounded</x:v>
      </x:c>
      <x:c r="P111" s="71" t="n">
        <x:v>12</x:v>
      </x:c>
      <x:c r="Q111" s="69" t="str">
        <x:v>weigh renaming against risk and propose a decision path</x:v>
      </x:c>
      <x:c r="R111" s="69" t="str">
        <x:v>marketing materials are already printed for Monday</x:v>
      </x:c>
      <x:c r="S111" s="69" t="str">
        <x:v>Green</x:v>
      </x:c>
      <x:c r="T111" s="69" t="str">
        <x:v>IES_v10_8_02_SCENE_CARDS.md#W26</x:v>
      </x:c>
      <x:c r="U111" s="69" t="str">
        <x:v>新製品名の商標衝突</x:v>
      </x:c>
      <x:c r="V111" s="69" t="str">
        <x:v>Nora Kessler pushes on "marketing materials are already printed for", and the whole exchange turns on risk explanation and decision.</x:v>
      </x:c>
      <x:c r="W111" s="69" t="str">
        <x:v>practical</x:v>
      </x:c>
    </x:row>
    <x:row r="112" ht="44" customHeight="1">
      <x:c r="A112" s="69" t="str">
        <x:v>W27</x:v>
      </x:c>
      <x:c r="B112" s="69" t="str">
        <x:v>現代オフィス</x:v>
      </x:c>
      <x:c r="C112" s="69" t="str">
        <x:v>The Remote-Work Exception</x:v>
      </x:c>
      <x:c r="D112" s="69" t="str">
        <x:v>在宅勤務規定の例外申請</x:v>
      </x:c>
      <x:c r="E112" s="69" t="str">
        <x:v>Present day; a policy review meeting after a blanket return-to-office mandate. No supernatural rule is added.</x:v>
      </x:c>
      <x:c r="F112" s="69" t="str">
        <x:v>the employee requesting a documented exception</x:v>
      </x:c>
      <x:c r="G112" s="69" t="str">
        <x:v>Manager Delia Cho, who must apply the policy consistently</x:v>
      </x:c>
      <x:c r="H112" s="69" t="str">
        <x:v>Sol</x:v>
      </x:c>
      <x:c r="I112" s="69" t="str">
        <x:v>こなれて落ち着く。交渉、駆け引き、仕事に合う</x:v>
      </x:c>
      <x:c r="J112" s="69" t="str">
        <x:v>A2–B2</x:v>
      </x:c>
      <x:c r="K112" s="69" t="str">
        <x:v>やさしい</x:v>
      </x:c>
      <x:c r="L112" s="69" t="str">
        <x:v>短い返事でOK。選択肢や言い換えあり</x:v>
      </x:c>
      <x:c r="M112" s="69" t="str">
        <x:v>structured requests and precedent awareness</x:v>
      </x:c>
      <x:c r="N112" s="69" t="str">
        <x:v>one-to-one; approving one exception invites; structured requests</x:v>
      </x:c>
      <x:c r="O112" s="69" t="str">
        <x:v>contemporary, professional, and emotionally grounded</x:v>
      </x:c>
      <x:c r="P112" s="71" t="n">
        <x:v>10</x:v>
      </x:c>
      <x:c r="Q112" s="69" t="str">
        <x:v>present a specific case without asking for special treatment as a favor</x:v>
      </x:c>
      <x:c r="R112" s="69" t="str">
        <x:v>approving one exception invites five more requests this week</x:v>
      </x:c>
      <x:c r="S112" s="69" t="str">
        <x:v>Green</x:v>
      </x:c>
      <x:c r="T112" s="69" t="str">
        <x:v>IES_v10_8_02_SCENE_CARDS.md#W27</x:v>
      </x:c>
      <x:c r="U112" s="69" t="str">
        <x:v>在宅勤務規定の例外申請</x:v>
      </x:c>
      <x:c r="V112" s="69" t="str">
        <x:v>Manager Delia Cho pushes on "approving one exception invites five more", and the whole exchange turns on structured requests and precedent.</x:v>
      </x:c>
      <x:c r="W112" s="69" t="str">
        <x:v>practical</x:v>
      </x:c>
    </x:row>
    <x:row r="113" ht="44" customHeight="1">
      <x:c r="A113" s="69" t="str">
        <x:v>W28</x:v>
      </x:c>
      <x:c r="B113" s="69" t="str">
        <x:v>現代オフィス</x:v>
      </x:c>
      <x:c r="C113" s="69" t="str">
        <x:v>The Board Deck at the Last Hour</x:v>
      </x:c>
      <x:c r="D113" s="69" t="str">
        <x:v>取締役会向け資料の土壇場修正</x:v>
      </x:c>
      <x:c r="E113" s="69" t="str">
        <x:v>Present day; an executive assistant's office ninety minutes before a board meeting. No supernatural rule is added.</x:v>
      </x:c>
      <x:c r="F113" s="69" t="str">
        <x:v>the analyst who found an error in the headline slide</x:v>
      </x:c>
      <x:c r="G113" s="69" t="str">
        <x:v>Chief of Staff Renata Ford, deciding whether to reprint everything</x:v>
      </x:c>
      <x:c r="H113" s="69" t="str">
        <x:v>Breeze</x:v>
      </x:c>
      <x:c r="I113" s="69" t="str">
        <x:v>表情豊かで真剣。緊迫、怪異、冒険に合う</x:v>
      </x:c>
      <x:c r="J113" s="69" t="str">
        <x:v>B1–C1</x:v>
      </x:c>
      <x:c r="K113" s="69" t="str">
        <x:v>ふつう</x:v>
      </x:c>
      <x:c r="L113" s="69" t="str">
        <x:v>2〜3文で自然に受け答え</x:v>
      </x:c>
      <x:c r="M113" s="69" t="str">
        <x:v>urgent precision and recommendation</x:v>
      </x:c>
      <x:c r="N113" s="69" t="str">
        <x:v>one-to-one; the printer queue closes; urgent precision</x:v>
      </x:c>
      <x:c r="O113" s="69" t="str">
        <x:v>contemporary, professional, and emotionally grounded</x:v>
      </x:c>
      <x:c r="P113" s="71" t="n">
        <x:v>10</x:v>
      </x:c>
      <x:c r="Q113" s="69" t="str">
        <x:v>report the error precisely and recommend a fix within the time limit</x:v>
      </x:c>
      <x:c r="R113" s="69" t="str">
        <x:v>the printer queue closes in twenty minutes</x:v>
      </x:c>
      <x:c r="S113" s="69" t="str">
        <x:v>Green</x:v>
      </x:c>
      <x:c r="T113" s="69" t="str">
        <x:v>IES_v10_8_02_SCENE_CARDS.md#W28</x:v>
      </x:c>
      <x:c r="U113" s="69" t="str">
        <x:v>取締役会向け資料の土壇場修正</x:v>
      </x:c>
      <x:c r="V113" s="69" t="str">
        <x:v>Chief of Staff Renata Ford pushes on "the printer queue closes in twenty", and the whole exchange turns on urgent precision and recommendation.</x:v>
      </x:c>
      <x:c r="W113" s="69" t="str">
        <x:v>practical</x:v>
      </x:c>
    </x:row>
    <x:row r="114" ht="44" customHeight="1">
      <x:c r="A114" s="69" t="str">
        <x:v>W29</x:v>
      </x:c>
      <x:c r="B114" s="69" t="str">
        <x:v>現代オフィス</x:v>
      </x:c>
      <x:c r="C114" s="69" t="str">
        <x:v>The Overbilled Invoice</x:v>
      </x:c>
      <x:c r="D114" s="69" t="str">
        <x:v>取引先からの過大請求</x:v>
      </x:c>
      <x:c r="E114" s="69" t="str">
        <x:v>Present day; a vendor-relations call after a recurring invoice quietly increased. No supernatural rule is added.</x:v>
      </x:c>
      <x:c r="F114" s="69" t="str">
        <x:v>the buyer who finally noticed the pattern</x:v>
      </x:c>
      <x:c r="G114" s="69" t="str">
        <x:v>Account Manager Priya Osei, apologetic but slow to commit to a fix</x:v>
      </x:c>
      <x:c r="H114" s="69" t="str">
        <x:v>Sol</x:v>
      </x:c>
      <x:c r="I114" s="69" t="str">
        <x:v>こなれて落ち着く。交渉、駆け引き、仕事に合う</x:v>
      </x:c>
      <x:c r="J114" s="69" t="str">
        <x:v>B1–B2</x:v>
      </x:c>
      <x:c r="K114" s="69" t="str">
        <x:v>ふつう</x:v>
      </x:c>
      <x:c r="L114" s="69" t="str">
        <x:v>2〜3文で自然に受け答え</x:v>
      </x:c>
      <x:c r="M114" s="69" t="str">
        <x:v>evidence-based negotiation and follow-through</x:v>
      </x:c>
      <x:c r="N114" s="69" t="str">
        <x:v>one-to-one; three previous emails about; evidence-based negotiation</x:v>
      </x:c>
      <x:c r="O114" s="69" t="str">
        <x:v>contemporary, professional, and emotionally grounded</x:v>
      </x:c>
      <x:c r="P114" s="71" t="n">
        <x:v>10</x:v>
      </x:c>
      <x:c r="Q114" s="69" t="str">
        <x:v>document the pattern and negotiate a concrete correction</x:v>
      </x:c>
      <x:c r="R114" s="69" t="str">
        <x:v>three previous emails about this went unanswered</x:v>
      </x:c>
      <x:c r="S114" s="69" t="str">
        <x:v>Green</x:v>
      </x:c>
      <x:c r="T114" s="69" t="str">
        <x:v>IES_v10_8_02_SCENE_CARDS.md#W29</x:v>
      </x:c>
      <x:c r="U114" s="69" t="str">
        <x:v>取引先からの過大請求</x:v>
      </x:c>
      <x:c r="V114" s="69" t="str">
        <x:v>Account Manager Priya Osei pushes on "three previous emails about this went", and the whole exchange turns on evidence-based negotiation and follow-through.</x:v>
      </x:c>
      <x:c r="W114" s="69" t="str">
        <x:v>practical</x:v>
      </x:c>
    </x:row>
    <x:row r="115" ht="44" customHeight="1">
      <x:c r="A115" s="69" t="str">
        <x:v>W30</x:v>
      </x:c>
      <x:c r="B115" s="69" t="str">
        <x:v>現代オフィス</x:v>
      </x:c>
      <x:c r="C115" s="69" t="str">
        <x:v>The New Hire's First Mistake</x:v>
      </x:c>
      <x:c r="D115" s="69" t="str">
        <x:v>新入社員の初めての失敗</x:v>
      </x:c>
      <x:c r="E115" s="69" t="str">
        <x:v>Present day; a quiet office corner after a costly beginner error. No supernatural rule is added.</x:v>
      </x:c>
      <x:c r="F115" s="69" t="str">
        <x:v>the trainer responsible for a nervous new employee</x:v>
      </x:c>
      <x:c r="G115" s="69" t="str">
        <x:v>Trainee Dahlia Voss, convinced she should be let go</x:v>
      </x:c>
      <x:c r="H115" s="69" t="str">
        <x:v>Sol</x:v>
      </x:c>
      <x:c r="I115" s="69" t="str">
        <x:v>こなれて落ち着く。交渉、駆け引き、仕事に合う</x:v>
      </x:c>
      <x:c r="J115" s="69" t="str">
        <x:v>A2–B1</x:v>
      </x:c>
      <x:c r="K115" s="69" t="str">
        <x:v>やさしい</x:v>
      </x:c>
      <x:c r="L115" s="69" t="str">
        <x:v>短い返事でOK。選択肢や言い換えあり</x:v>
      </x:c>
      <x:c r="M115" s="69" t="str">
        <x:v>supportive correction and coaching</x:v>
      </x:c>
      <x:c r="N115" s="69" t="str">
        <x:v>one-to-one; dahlia is drafting her; supportive correction</x:v>
      </x:c>
      <x:c r="O115" s="69" t="str">
        <x:v>contemporary, professional, and emotionally grounded</x:v>
      </x:c>
      <x:c r="P115" s="71" t="n">
        <x:v>10</x:v>
      </x:c>
      <x:c r="Q115" s="69" t="str">
        <x:v>reassure without minimizing the mistake and set a concrete recovery plan</x:v>
      </x:c>
      <x:c r="R115" s="69" t="str">
        <x:v>Dahlia is drafting her own resignation letter as you speak</x:v>
      </x:c>
      <x:c r="S115" s="69" t="str">
        <x:v>Green</x:v>
      </x:c>
      <x:c r="T115" s="69" t="str">
        <x:v>IES_v10_8_02_SCENE_CARDS.md#W30</x:v>
      </x:c>
      <x:c r="U115" s="69" t="str">
        <x:v>新入社員の初めての失敗</x:v>
      </x:c>
      <x:c r="V115" s="69" t="str">
        <x:v>Trainee Dahlia Voss pushes on "dahlia is drafting her own resignation", and the whole exchange turns on supportive correction and coaching.</x:v>
      </x:c>
      <x:c r="W115" s="69" t="str">
        <x:v>practical</x:v>
      </x:c>
    </x:row>
    <x:row r="116" ht="44" customHeight="1">
      <x:c r="A116" s="69" t="str">
        <x:v>W31</x:v>
      </x:c>
      <x:c r="B116" s="69" t="str">
        <x:v>現代オフィス</x:v>
      </x:c>
      <x:c r="C116" s="69" t="str">
        <x:v>The Suspected Leak</x:v>
      </x:c>
      <x:c r="D116" s="69" t="str">
        <x:v>非公開買収情報の漏洩疑惑</x:v>
      </x:c>
      <x:c r="E116" s="69" t="str">
        <x:v>Present day; a compliance office after confidential acquisition terms appear online. No supernatural rule is added.</x:v>
      </x:c>
      <x:c r="F116" s="69" t="str">
        <x:v>the employee whose access logs are being reviewed first</x:v>
      </x:c>
      <x:c r="G116" s="69" t="str">
        <x:v>Compliance Officer Marisol Duarte, investigating without yet accusing</x:v>
      </x:c>
      <x:c r="H116" s="69" t="str">
        <x:v>Sol</x:v>
      </x:c>
      <x:c r="I116" s="69" t="str">
        <x:v>こなれて落ち着く。交渉、駆け引き、仕事に合う</x:v>
      </x:c>
      <x:c r="J116" s="69" t="str">
        <x:v>B2–C1</x:v>
      </x:c>
      <x:c r="K116" s="69" t="str">
        <x:v>しっかり</x:v>
      </x:c>
      <x:c r="L116" s="69" t="str">
        <x:v>理由説明や交渉まで</x:v>
      </x:c>
      <x:c r="M116" s="69" t="str">
        <x:v>careful factual answers and self-protection</x:v>
      </x:c>
      <x:c r="N116" s="69" t="str">
        <x:v>one-to-one; the story broke six; careful factual answers</x:v>
      </x:c>
      <x:c r="O116" s="69" t="str">
        <x:v>contemporary, professional, and emotionally grounded</x:v>
      </x:c>
      <x:c r="P116" s="71" t="n">
        <x:v>12</x:v>
      </x:c>
      <x:c r="Q116" s="69" t="str">
        <x:v>answer procedural questions clearly while protecting your own position</x:v>
      </x:c>
      <x:c r="R116" s="69" t="str">
        <x:v>the story broke six hours after your last file access</x:v>
      </x:c>
      <x:c r="S116" s="69" t="str">
        <x:v>Green</x:v>
      </x:c>
      <x:c r="T116" s="69" t="str">
        <x:v>IES_v10_8_02_SCENE_CARDS.md#W31</x:v>
      </x:c>
      <x:c r="U116" s="69" t="str">
        <x:v>非公開買収情報の漏洩疑惑</x:v>
      </x:c>
      <x:c r="V116" s="69" t="str">
        <x:v>Compliance Officer Marisol Duarte pushes on "the story broke six hours after", and the whole exchange turns on careful factual answers and.</x:v>
      </x:c>
      <x:c r="W116" s="69" t="str">
        <x:v>practical</x:v>
      </x:c>
    </x:row>
    <x:row r="117" ht="44" customHeight="1">
      <x:c r="A117" s="69" t="str">
        <x:v>W32</x:v>
      </x:c>
      <x:c r="B117" s="69" t="str">
        <x:v>現代オフィス</x:v>
      </x:c>
      <x:c r="C117" s="69" t="str">
        <x:v>The Company Car Incident</x:v>
      </x:c>
      <x:c r="D117" s="69" t="str">
        <x:v>社用車の事故報告</x:v>
      </x:c>
      <x:c r="E117" s="69" t="str">
        <x:v>Present day; a fleet-management office after a minor parking-lot collision. No supernatural rule is added.</x:v>
      </x:c>
      <x:c r="F117" s="69" t="str">
        <x:v>the employee filing an honest but nervous incident report</x:v>
      </x:c>
      <x:c r="G117" s="69" t="str">
        <x:v>Fleet Manager Odessa Blanc, needing exact facts for insurance</x:v>
      </x:c>
      <x:c r="H117" s="69" t="str">
        <x:v>Sol</x:v>
      </x:c>
      <x:c r="I117" s="69" t="str">
        <x:v>こなれて落ち着く。交渉、駆け引き、仕事に合う</x:v>
      </x:c>
      <x:c r="J117" s="69" t="str">
        <x:v>A2–B1</x:v>
      </x:c>
      <x:c r="K117" s="69" t="str">
        <x:v>やさしい</x:v>
      </x:c>
      <x:c r="L117" s="69" t="str">
        <x:v>短い返事でOK。選択肢や言い換えあり</x:v>
      </x:c>
      <x:c r="M117" s="69" t="str">
        <x:v>precise incident reporting and composure</x:v>
      </x:c>
      <x:c r="N117" s="69" t="str">
        <x:v>one-to-one; the other driver's account; precise incident reporting</x:v>
      </x:c>
      <x:c r="O117" s="69" t="str">
        <x:v>contemporary, professional, and emotionally grounded</x:v>
      </x:c>
      <x:c r="P117" s="71" t="n">
        <x:v>8</x:v>
      </x:c>
      <x:c r="Q117" s="69" t="str">
        <x:v>report the sequence of events precisely without over-apologizing</x:v>
      </x:c>
      <x:c r="R117" s="69" t="str">
        <x:v>the other driver's account already reached the office first</x:v>
      </x:c>
      <x:c r="S117" s="69" t="str">
        <x:v>Green</x:v>
      </x:c>
      <x:c r="T117" s="69" t="str">
        <x:v>IES_v10_8_02_SCENE_CARDS.md#W32</x:v>
      </x:c>
      <x:c r="U117" s="69" t="str">
        <x:v>社用車の事故報告</x:v>
      </x:c>
      <x:c r="V117" s="69" t="str">
        <x:v>Fleet Manager Odessa Blanc pushes on "the other driver's account already reached", and the whole exchange turns on precise incident reporting and.</x:v>
      </x:c>
      <x:c r="W117" s="69" t="str">
        <x:v>practical</x:v>
      </x:c>
    </x:row>
    <x:row r="118" ht="44" customHeight="1">
      <x:c r="A118" s="69" t="str">
        <x:v>M01</x:v>
      </x:c>
      <x:c r="B118" s="69" t="str">
        <x:v>医療・ケア</x:v>
      </x:c>
      <x:c r="C118" s="69" t="str">
        <x:v>The Night-Shift Handover</x:v>
      </x:c>
      <x:c r="D118" s="69" t="str">
        <x:v>夜勤の引き継ぎ</x:v>
      </x:c>
      <x:c r="E118" s="69" t="str">
        <x:v>Present day; an emergency ward during a crowded shift change. No supernatural rule is added.</x:v>
      </x:c>
      <x:c r="F118" s="69" t="str">
        <x:v>the clinician handing over a complicated patient</x:v>
      </x:c>
      <x:c r="G118" s="69" t="str">
        <x:v>Dr. Mina Rao, the incoming physician</x:v>
      </x:c>
      <x:c r="H118" s="69" t="str">
        <x:v>Juniper</x:v>
      </x:c>
      <x:c r="I118" s="69" t="str">
        <x:v>開放的で明るい。相談、再会、親密な会話に合う</x:v>
      </x:c>
      <x:c r="J118" s="69" t="str">
        <x:v>B1–B2</x:v>
      </x:c>
      <x:c r="K118" s="69" t="str">
        <x:v>ふつう</x:v>
      </x:c>
      <x:c r="L118" s="69" t="str">
        <x:v>2〜3文で自然に受け答え</x:v>
      </x:c>
      <x:c r="M118" s="69" t="str">
        <x:v>structured medical handover</x:v>
      </x:c>
      <x:c r="N118" s="69" t="str">
        <x:v>one-to-one; a missed detail could; structured medical handover</x:v>
      </x:c>
      <x:c r="O118" s="69" t="str">
        <x:v>calm, humane, and precise</x:v>
      </x:c>
      <x:c r="P118" s="71" t="n">
        <x:v>10</x:v>
      </x:c>
      <x:c r="Q118" s="69" t="str">
        <x:v>communicate the critical facts and one uncertainty clearly</x:v>
      </x:c>
      <x:c r="R118" s="69" t="str">
        <x:v>a missed detail could delay urgent treatment</x:v>
      </x:c>
      <x:c r="S118" s="69" t="str">
        <x:v>Green</x:v>
      </x:c>
      <x:c r="T118" s="69" t="str">
        <x:v>IES_v10_8_02_SCENE_CARDS.md#M01</x:v>
      </x:c>
      <x:c r="U118" s="69" t="str">
        <x:v>夜勤の引き継ぎ</x:v>
      </x:c>
      <x:c r="V118" s="69" t="str">
        <x:v>Dr. Mina Rao pushes on "a missed detail could delay urgent", and the whole exchange turns on structured medical handover.</x:v>
      </x:c>
      <x:c r="W118" s="69" t="str">
        <x:v>practical</x:v>
      </x:c>
    </x:row>
    <x:row r="119" ht="44" customHeight="1">
      <x:c r="A119" s="69" t="str">
        <x:v>M02</x:v>
      </x:c>
      <x:c r="B119" s="69" t="str">
        <x:v>医療・ケア</x:v>
      </x:c>
      <x:c r="C119" s="69" t="str">
        <x:v>The Refusal of Treatment</x:v>
      </x:c>
      <x:c r="D119" s="69" t="str">
        <x:v>治療を断る患者との対話</x:v>
      </x:c>
      <x:c r="E119" s="69" t="str">
        <x:v>Present day; a private consultation room after a patient declines the recommended procedure. No supernatural rule is added.</x:v>
      </x:c>
      <x:c r="F119" s="69" t="str">
        <x:v>the clinician responsible for informed consent</x:v>
      </x:c>
      <x:c r="G119" s="69" t="str">
        <x:v>Erin Blake, an adult patient who understands the risk but distrusts the plan</x:v>
      </x:c>
      <x:c r="H119" s="69" t="str">
        <x:v>Juniper</x:v>
      </x:c>
      <x:c r="I119" s="69" t="str">
        <x:v>開放的で明るい。相談、再会、親密な会話に合う</x:v>
      </x:c>
      <x:c r="J119" s="69" t="str">
        <x:v>B1–C1</x:v>
      </x:c>
      <x:c r="K119" s="69" t="str">
        <x:v>ふつう</x:v>
      </x:c>
      <x:c r="L119" s="69" t="str">
        <x:v>2〜3文で自然に受け答え</x:v>
      </x:c>
      <x:c r="M119" s="69" t="str">
        <x:v>informed-choice questions and reassurance</x:v>
      </x:c>
      <x:c r="N119" s="69" t="str">
        <x:v>one-to-one; the safe treatment window; informed-choice questions</x:v>
      </x:c>
      <x:c r="O119" s="69" t="str">
        <x:v>calm, humane, and precise</x:v>
      </x:c>
      <x:c r="P119" s="71" t="n">
        <x:v>12</x:v>
      </x:c>
      <x:c r="Q119" s="69" t="str">
        <x:v>confirm understanding and explore alternatives without pressure</x:v>
      </x:c>
      <x:c r="R119" s="69" t="str">
        <x:v>the safe treatment window closes tonight</x:v>
      </x:c>
      <x:c r="S119" s="69" t="str">
        <x:v>Green</x:v>
      </x:c>
      <x:c r="T119" s="69" t="str">
        <x:v>IES_v10_8_02_SCENE_CARDS.md#M02</x:v>
      </x:c>
      <x:c r="U119" s="69" t="str">
        <x:v>治療を断る患者との対話</x:v>
      </x:c>
      <x:c r="V119" s="69" t="str">
        <x:v>Erin Blake pushes on "the safe treatment window closes tonight", and the whole exchange turns on informed-choice questions and reassurance.</x:v>
      </x:c>
      <x:c r="W119" s="69" t="str">
        <x:v>practical</x:v>
      </x:c>
    </x:row>
    <x:row r="120" ht="44" customHeight="1">
      <x:c r="A120" s="69" t="str">
        <x:v>M03</x:v>
      </x:c>
      <x:c r="B120" s="69" t="str">
        <x:v>医療・ケア</x:v>
      </x:c>
      <x:c r="C120" s="69" t="str">
        <x:v>The Difficult Result</x:v>
      </x:c>
      <x:c r="D120" s="69" t="str">
        <x:v>家族に伝える難しい結果</x:v>
      </x:c>
      <x:c r="E120" s="69" t="str">
        <x:v>Present day; a hospital family room after new test results arrive. No supernatural rule is added.</x:v>
      </x:c>
      <x:c r="F120" s="69" t="str">
        <x:v>the specialist explaining what is known and unknown</x:v>
      </x:c>
      <x:c r="G120" s="69" t="str">
        <x:v>Dr. Sara Malik, the colleague helping you prepare the conversation</x:v>
      </x:c>
      <x:c r="H120" s="69" t="str">
        <x:v>Juniper</x:v>
      </x:c>
      <x:c r="I120" s="69" t="str">
        <x:v>開放的で明るい。相談、再会、親密な会話に合う</x:v>
      </x:c>
      <x:c r="J120" s="69" t="str">
        <x:v>B2–C1</x:v>
      </x:c>
      <x:c r="K120" s="69" t="str">
        <x:v>しっかり</x:v>
      </x:c>
      <x:c r="L120" s="69" t="str">
        <x:v>理由説明や交渉まで</x:v>
      </x:c>
      <x:c r="M120" s="69" t="str">
        <x:v>explaining uncertainty with empathy</x:v>
      </x:c>
      <x:c r="N120" s="69" t="str">
        <x:v>one-to-one; the family is waiting; explaining uncertainty</x:v>
      </x:c>
      <x:c r="O120" s="69" t="str">
        <x:v>calm, humane, and precise</x:v>
      </x:c>
      <x:c r="P120" s="71" t="n">
        <x:v>12</x:v>
      </x:c>
      <x:c r="Q120" s="69" t="str">
        <x:v>agree on clear language and avoid false certainty</x:v>
      </x:c>
      <x:c r="R120" s="69" t="str">
        <x:v>the family is waiting outside and has conflicting information</x:v>
      </x:c>
      <x:c r="S120" s="69" t="str">
        <x:v>Green</x:v>
      </x:c>
      <x:c r="T120" s="69" t="str">
        <x:v>IES_v10_8_02_SCENE_CARDS.md#M03</x:v>
      </x:c>
      <x:c r="U120" s="69" t="str">
        <x:v>家族に伝える難しい結果</x:v>
      </x:c>
      <x:c r="V120" s="69" t="str">
        <x:v>Dr. Sara Malik pushes on "the family is waiting outside and", and the whole exchange turns on explaining uncertainty with empathy.</x:v>
      </x:c>
      <x:c r="W120" s="69" t="str">
        <x:v>practical</x:v>
      </x:c>
    </x:row>
    <x:row r="121" ht="44" customHeight="1">
      <x:c r="A121" s="69" t="str">
        <x:v>M04</x:v>
      </x:c>
      <x:c r="B121" s="69" t="str">
        <x:v>医療・ケア</x:v>
      </x:c>
      <x:c r="C121" s="69" t="str">
        <x:v>Three Minutes on the Line</x:v>
      </x:c>
      <x:c r="D121" s="69" t="str">
        <x:v>救急電話の三分間</x:v>
      </x:c>
      <x:c r="E121" s="69" t="str">
        <x:v>Present day; an emergency dispatch center during a severe storm. No supernatural rule is added.</x:v>
      </x:c>
      <x:c r="F121" s="69" t="str">
        <x:v>the caller guiding a stranger through first aid</x:v>
      </x:c>
      <x:c r="G121" s="69" t="str">
        <x:v>Mia Flores, the dispatcher keeping you calm</x:v>
      </x:c>
      <x:c r="H121" s="69" t="str">
        <x:v>Breeze</x:v>
      </x:c>
      <x:c r="I121" s="69" t="str">
        <x:v>表情豊かで真剣。緊迫、怪異、冒険に合う</x:v>
      </x:c>
      <x:c r="J121" s="69" t="str">
        <x:v>A2–B1</x:v>
      </x:c>
      <x:c r="K121" s="69" t="str">
        <x:v>やさしい</x:v>
      </x:c>
      <x:c r="L121" s="69" t="str">
        <x:v>短い返事でOK。選択肢や言い換えあり</x:v>
      </x:c>
      <x:c r="M121" s="69" t="str">
        <x:v>emergency description and confirmation</x:v>
      </x:c>
      <x:c r="N121" s="69" t="str">
        <x:v>one-to-one; the ambulance cannot arrive; emergency description</x:v>
      </x:c>
      <x:c r="O121" s="69" t="str">
        <x:v>calm, humane, and precise</x:v>
      </x:c>
      <x:c r="P121" s="71" t="n">
        <x:v>8</x:v>
      </x:c>
      <x:c r="Q121" s="69" t="str">
        <x:v>describe the scene and follow instructions one step at a time</x:v>
      </x:c>
      <x:c r="R121" s="69" t="str">
        <x:v>the ambulance cannot arrive for three minutes</x:v>
      </x:c>
      <x:c r="S121" s="69" t="str">
        <x:v>Green</x:v>
      </x:c>
      <x:c r="T121" s="69" t="str">
        <x:v>IES_v10_8_02_SCENE_CARDS.md#M04</x:v>
      </x:c>
      <x:c r="U121" s="69" t="str">
        <x:v>救急電話の三分間</x:v>
      </x:c>
      <x:c r="V121" s="69" t="str">
        <x:v>Mia Flores pushes on "the ambulance cannot arrive for three", and the whole exchange turns on emergency description and confirmation.</x:v>
      </x:c>
      <x:c r="W121" s="69" t="str">
        <x:v>practical</x:v>
      </x:c>
    </x:row>
    <x:row r="122" ht="44" customHeight="1">
      <x:c r="A122" s="69" t="str">
        <x:v>M05</x:v>
      </x:c>
      <x:c r="B122" s="69" t="str">
        <x:v>医療・ケア</x:v>
      </x:c>
      <x:c r="C122" s="69" t="str">
        <x:v>One More Step</x:v>
      </x:c>
      <x:c r="D122" s="69" t="str">
        <x:v>リハビリをめぐる対立</x:v>
      </x:c>
      <x:c r="E122" s="69" t="str">
        <x:v>Present day; a rehabilitation gym after progress has stalled. No supernatural rule is added.</x:v>
      </x:c>
      <x:c r="F122" s="69" t="str">
        <x:v>the patient frustrated by the current plan</x:v>
      </x:c>
      <x:c r="G122" s="69" t="str">
        <x:v>Tessa Ward, your physical therapist</x:v>
      </x:c>
      <x:c r="H122" s="69" t="str">
        <x:v>Juniper</x:v>
      </x:c>
      <x:c r="I122" s="69" t="str">
        <x:v>開放的で明るい。相談、再会、親密な会話に合う</x:v>
      </x:c>
      <x:c r="J122" s="69" t="str">
        <x:v>A2–B1</x:v>
      </x:c>
      <x:c r="K122" s="69" t="str">
        <x:v>やさしい</x:v>
      </x:c>
      <x:c r="L122" s="69" t="str">
        <x:v>短い返事でOK。選択肢や言い換えあり</x:v>
      </x:c>
      <x:c r="M122" s="69" t="str">
        <x:v>describing symptoms and collaborative planning</x:v>
      </x:c>
      <x:c r="N122" s="69" t="str">
        <x:v>one-to-one; continuing unchanged risks injury; describing symptoms</x:v>
      </x:c>
      <x:c r="O122" s="69" t="str">
        <x:v>calm, humane, and precise</x:v>
      </x:c>
      <x:c r="P122" s="71" t="n">
        <x:v>10</x:v>
      </x:c>
      <x:c r="Q122" s="69" t="str">
        <x:v>explain pain and goals, then redesign today's session together</x:v>
      </x:c>
      <x:c r="R122" s="69" t="str">
        <x:v>continuing unchanged risks injury, but stopping may delay discharge</x:v>
      </x:c>
      <x:c r="S122" s="69" t="str">
        <x:v>Green</x:v>
      </x:c>
      <x:c r="T122" s="69" t="str">
        <x:v>IES_v10_8_02_SCENE_CARDS.md#M05</x:v>
      </x:c>
      <x:c r="U122" s="69" t="str">
        <x:v>リハビリをめぐる対立</x:v>
      </x:c>
      <x:c r="V122" s="69" t="str">
        <x:v>Tessa Ward pushes on "continuing unchanged risks injury, but stopping", and the whole exchange turns on describing symptoms and collaborative.</x:v>
      </x:c>
      <x:c r="W122" s="69" t="str">
        <x:v>practical</x:v>
      </x:c>
    </x:row>
    <x:row r="123" ht="44" customHeight="1">
      <x:c r="A123" s="69" t="str">
        <x:v>M06</x:v>
      </x:c>
      <x:c r="B123" s="69" t="str">
        <x:v>医療・ケア</x:v>
      </x:c>
      <x:c r="C123" s="69" t="str">
        <x:v>Meaning, Not Just Words</x:v>
      </x:c>
      <x:c r="D123" s="69" t="str">
        <x:v>医療通訳の確認</x:v>
      </x:c>
      <x:c r="E123" s="69" t="str">
        <x:v>Present day; a multilingual clinic appointment. No supernatural rule is added.</x:v>
      </x:c>
      <x:c r="F123" s="69" t="str">
        <x:v>the bilingual staff member asked to interpret an important choice</x:v>
      </x:c>
      <x:c r="G123" s="69" t="str">
        <x:v>Lina Costa, the patient who suspects key nuance is being lost</x:v>
      </x:c>
      <x:c r="H123" s="69" t="str">
        <x:v>Juniper</x:v>
      </x:c>
      <x:c r="I123" s="69" t="str">
        <x:v>開放的で明るい。相談、再会、親密な会話に合う</x:v>
      </x:c>
      <x:c r="J123" s="69" t="str">
        <x:v>B1–B2</x:v>
      </x:c>
      <x:c r="K123" s="69" t="str">
        <x:v>ふつう</x:v>
      </x:c>
      <x:c r="L123" s="69" t="str">
        <x:v>2〜3文で自然に受け答え</x:v>
      </x:c>
      <x:c r="M123" s="69" t="str">
        <x:v>clarification and patient advocacy</x:v>
      </x:c>
      <x:c r="N123" s="69" t="str">
        <x:v>one-to-one; the clinician is rushing; clarification</x:v>
      </x:c>
      <x:c r="O123" s="69" t="str">
        <x:v>calm, humane, and precise</x:v>
      </x:c>
      <x:c r="P123" s="71" t="n">
        <x:v>10</x:v>
      </x:c>
      <x:c r="Q123" s="69" t="str">
        <x:v>clarify meanings and make sure the decision is truly hers</x:v>
      </x:c>
      <x:c r="R123" s="69" t="str">
        <x:v>the clinician is rushing toward the next appointment</x:v>
      </x:c>
      <x:c r="S123" s="69" t="str">
        <x:v>Green</x:v>
      </x:c>
      <x:c r="T123" s="69" t="str">
        <x:v>IES_v10_8_02_SCENE_CARDS.md#M06</x:v>
      </x:c>
      <x:c r="U123" s="69" t="str">
        <x:v>医療通訳の確認</x:v>
      </x:c>
      <x:c r="V123" s="69" t="str">
        <x:v>Lina Costa pushes on "the clinician is rushing toward the", and the whole exchange turns on clarification and patient advocacy.</x:v>
      </x:c>
      <x:c r="W123" s="69" t="str">
        <x:v>practical</x:v>
      </x:c>
    </x:row>
    <x:row r="124" ht="44" customHeight="1">
      <x:c r="A124" s="69" t="str">
        <x:v>M07</x:v>
      </x:c>
      <x:c r="B124" s="69" t="str">
        <x:v>医療・ケア</x:v>
      </x:c>
      <x:c r="C124" s="69" t="str">
        <x:v>Speak Up on the Ward</x:v>
      </x:c>
      <x:c r="D124" s="69" t="str">
        <x:v>新人看護師の報告</x:v>
      </x:c>
      <x:c r="E124" s="69" t="str">
        <x:v>Present day; a surgical ward after a subtle change in a patient's condition. No supernatural rule is added.</x:v>
      </x:c>
      <x:c r="F124" s="69" t="str">
        <x:v>a new nurse deciding whether to escalate</x:v>
      </x:c>
      <x:c r="G124" s="69" t="str">
        <x:v>Nadia Bell, the senior nurse who initially dismisses the concern</x:v>
      </x:c>
      <x:c r="H124" s="69" t="str">
        <x:v>Juniper</x:v>
      </x:c>
      <x:c r="I124" s="69" t="str">
        <x:v>開放的で明るい。相談、再会、親密な会話に合う</x:v>
      </x:c>
      <x:c r="J124" s="69" t="str">
        <x:v>B1–B2</x:v>
      </x:c>
      <x:c r="K124" s="69" t="str">
        <x:v>ふつう</x:v>
      </x:c>
      <x:c r="L124" s="69" t="str">
        <x:v>2〜3文で自然に受け答え</x:v>
      </x:c>
      <x:c r="M124" s="69" t="str">
        <x:v>escalation language and evidence</x:v>
      </x:c>
      <x:c r="N124" s="69" t="str">
        <x:v>one-to-one; the vital signs look; escalation language</x:v>
      </x:c>
      <x:c r="O124" s="69" t="str">
        <x:v>calm, humane, and precise</x:v>
      </x:c>
      <x:c r="P124" s="71" t="n">
        <x:v>10</x:v>
      </x:c>
      <x:c r="Q124" s="69" t="str">
        <x:v>present observations firmly and request a review</x:v>
      </x:c>
      <x:c r="R124" s="69" t="str">
        <x:v>the vital signs look normal, but the patient is deteriorating</x:v>
      </x:c>
      <x:c r="S124" s="69" t="str">
        <x:v>Green</x:v>
      </x:c>
      <x:c r="T124" s="69" t="str">
        <x:v>IES_v10_8_02_SCENE_CARDS.md#M07</x:v>
      </x:c>
      <x:c r="U124" s="69" t="str">
        <x:v>新人看護師の報告</x:v>
      </x:c>
      <x:c r="V124" s="69" t="str">
        <x:v>Nadia Bell pushes on "the vital signs look normal, but", and the whole exchange turns on escalation language and evidence.</x:v>
      </x:c>
      <x:c r="W124" s="69" t="str">
        <x:v>practical</x:v>
      </x:c>
    </x:row>
    <x:row r="125" ht="44" customHeight="1">
      <x:c r="A125" s="69" t="str">
        <x:v>M08</x:v>
      </x:c>
      <x:c r="B125" s="69" t="str">
        <x:v>医療・ケア</x:v>
      </x:c>
      <x:c r="C125" s="69" t="str">
        <x:v>The Telehealth Misunderstanding</x:v>
      </x:c>
      <x:c r="D125" s="69" t="str">
        <x:v>オンライン診療の誤解</x:v>
      </x:c>
      <x:c r="E125" s="69" t="str">
        <x:v>Present day; a video appointment with unstable audio. No supernatural rule is added.</x:v>
      </x:c>
      <x:c r="F125" s="69" t="str">
        <x:v>the patient trying to explain recurring symptoms</x:v>
      </x:c>
      <x:c r="G125" s="69" t="str">
        <x:v>Dr. Chloe Bennett, the remote physician</x:v>
      </x:c>
      <x:c r="H125" s="69" t="str">
        <x:v>Juniper</x:v>
      </x:c>
      <x:c r="I125" s="69" t="str">
        <x:v>開放的で明るい。相談、再会、親密な会話に合う</x:v>
      </x:c>
      <x:c r="J125" s="69" t="str">
        <x:v>A2–B1</x:v>
      </x:c>
      <x:c r="K125" s="69" t="str">
        <x:v>やさしい</x:v>
      </x:c>
      <x:c r="L125" s="69" t="str">
        <x:v>短い返事でOK。選択肢や言い換えあり</x:v>
      </x:c>
      <x:c r="M125" s="69" t="str">
        <x:v>symptom description and correction</x:v>
      </x:c>
      <x:c r="N125" s="69" t="str">
        <x:v>one-to-one; the connection may drop; symptom description</x:v>
      </x:c>
      <x:c r="O125" s="69" t="str">
        <x:v>calm, humane, and precise</x:v>
      </x:c>
      <x:c r="P125" s="71" t="n">
        <x:v>8</x:v>
      </x:c>
      <x:c r="Q125" s="69" t="str">
        <x:v>correct a mistaken assumption and give a precise timeline</x:v>
      </x:c>
      <x:c r="R125" s="69" t="str">
        <x:v>the connection may drop in five minutes</x:v>
      </x:c>
      <x:c r="S125" s="69" t="str">
        <x:v>Green</x:v>
      </x:c>
      <x:c r="T125" s="69" t="str">
        <x:v>IES_v10_8_02_SCENE_CARDS.md#M08</x:v>
      </x:c>
      <x:c r="U125" s="69" t="str">
        <x:v>オンライン診療の誤解</x:v>
      </x:c>
      <x:c r="V125" s="69" t="str">
        <x:v>Dr. Chloe Bennett pushes on "the connection may drop in five", and the whole exchange turns on symptom description and correction.</x:v>
      </x:c>
      <x:c r="W125" s="69" t="str">
        <x:v>practical</x:v>
      </x:c>
    </x:row>
    <x:row r="126" ht="44" customHeight="1">
      <x:c r="A126" s="69" t="str">
        <x:v>M09</x:v>
      </x:c>
      <x:c r="B126" s="69" t="str">
        <x:v>医療・ケア</x:v>
      </x:c>
      <x:c r="C126" s="69" t="str">
        <x:v>The Clinical Trial Decision</x:v>
      </x:c>
      <x:c r="D126" s="69" t="str">
        <x:v>研究参加への迷い</x:v>
      </x:c>
      <x:c r="E126" s="69" t="str">
        <x:v>Present day; a research clinic before enrollment closes. No supernatural rule is added.</x:v>
      </x:c>
      <x:c r="F126" s="69" t="str">
        <x:v>a candidate considering an experimental study</x:v>
      </x:c>
      <x:c r="G126" s="69" t="str">
        <x:v>Dr. Maya Singh, the principal investigator</x:v>
      </x:c>
      <x:c r="H126" s="69" t="str">
        <x:v>Juniper</x:v>
      </x:c>
      <x:c r="I126" s="69" t="str">
        <x:v>開放的で明るい。相談、再会、親密な会話に合う</x:v>
      </x:c>
      <x:c r="J126" s="69" t="str">
        <x:v>B1–C1</x:v>
      </x:c>
      <x:c r="K126" s="69" t="str">
        <x:v>ふつう</x:v>
      </x:c>
      <x:c r="L126" s="69" t="str">
        <x:v>2〜3文で自然に受け答え</x:v>
      </x:c>
      <x:c r="M126" s="69" t="str">
        <x:v>risk questions and informed decision-making</x:v>
      </x:c>
      <x:c r="N126" s="69" t="str">
        <x:v>one-to-one; transport support is available; risk questions</x:v>
      </x:c>
      <x:c r="O126" s="69" t="str">
        <x:v>calm, humane, and precise</x:v>
      </x:c>
      <x:c r="P126" s="71" t="n">
        <x:v>15</x:v>
      </x:c>
      <x:c r="Q126" s="69" t="str">
        <x:v>ask about benefits, burdens, privacy, and withdrawal</x:v>
      </x:c>
      <x:c r="R126" s="69" t="str">
        <x:v>transport support is available only if you decide today</x:v>
      </x:c>
      <x:c r="S126" s="69" t="str">
        <x:v>Green</x:v>
      </x:c>
      <x:c r="T126" s="69" t="str">
        <x:v>IES_v10_8_02_SCENE_CARDS.md#M09</x:v>
      </x:c>
      <x:c r="U126" s="69" t="str">
        <x:v>研究参加への迷い</x:v>
      </x:c>
      <x:c r="V126" s="69" t="str">
        <x:v>Dr. Maya Singh pushes on "transport support is available only if", and the whole exchange turns on risk questions and informed.</x:v>
      </x:c>
      <x:c r="W126" s="69" t="str">
        <x:v>practical</x:v>
      </x:c>
    </x:row>
    <x:row r="127" ht="44" customHeight="1">
      <x:c r="A127" s="69" t="str">
        <x:v>M10</x:v>
      </x:c>
      <x:c r="B127" s="69" t="str">
        <x:v>医療・ケア</x:v>
      </x:c>
      <x:c r="C127" s="69" t="str">
        <x:v>At the Closed Door</x:v>
      </x:c>
      <x:c r="D127" s="69" t="str">
        <x:v>訪問介護、鍵の向こう</x:v>
      </x:c>
      <x:c r="E127" s="69" t="str">
        <x:v>Present day; an apartment hallway during a scheduled care visit. No supernatural rule is added.</x:v>
      </x:c>
      <x:c r="F127" s="69" t="str">
        <x:v>a home-care worker who cannot reach the client</x:v>
      </x:c>
      <x:c r="G127" s="69" t="str">
        <x:v>June Harris, the client's worried daughter on the phone</x:v>
      </x:c>
      <x:c r="H127" s="69" t="str">
        <x:v>Juniper</x:v>
      </x:c>
      <x:c r="I127" s="69" t="str">
        <x:v>開放的で明るい。相談、再会、親密な会話に合う</x:v>
      </x:c>
      <x:c r="J127" s="69" t="str">
        <x:v>B1–B2</x:v>
      </x:c>
      <x:c r="K127" s="69" t="str">
        <x:v>ふつう</x:v>
      </x:c>
      <x:c r="L127" s="69" t="str">
        <x:v>2〜3文で自然に受け答え</x:v>
      </x:c>
      <x:c r="M127" s="69" t="str">
        <x:v>care coordination and cautious escalation</x:v>
      </x:c>
      <x:c r="N127" s="69" t="str">
        <x:v>one-to-one; medication should have been; care coordination</x:v>
      </x:c>
      <x:c r="O127" s="69" t="str">
        <x:v>calm, humane, and precise</x:v>
      </x:c>
      <x:c r="P127" s="71" t="n">
        <x:v>10</x:v>
      </x:c>
      <x:c r="Q127" s="69" t="str">
        <x:v>decide whether the situation is an emergency while respecting privacy</x:v>
      </x:c>
      <x:c r="R127" s="69" t="str">
        <x:v>medication should have been taken an hour ago</x:v>
      </x:c>
      <x:c r="S127" s="69" t="str">
        <x:v>Green</x:v>
      </x:c>
      <x:c r="T127" s="69" t="str">
        <x:v>IES_v10_8_02_SCENE_CARDS.md#M10</x:v>
      </x:c>
      <x:c r="U127" s="69" t="str">
        <x:v>訪問介護、鍵の向こう</x:v>
      </x:c>
      <x:c r="V127" s="69" t="str">
        <x:v>June Harris pushes on "medication should have been taken an", and the whole exchange turns on care coordination and cautious.</x:v>
      </x:c>
      <x:c r="W127" s="69" t="str">
        <x:v>practical</x:v>
      </x:c>
    </x:row>
    <x:row r="128" ht="44" customHeight="1">
      <x:c r="A128" s="69" t="str">
        <x:v>M11</x:v>
      </x:c>
      <x:c r="B128" s="69" t="str">
        <x:v>医療・ケア</x:v>
      </x:c>
      <x:c r="C128" s="69" t="str">
        <x:v>The Leave Request</x:v>
      </x:c>
      <x:c r="D128" s="69" t="str">
        <x:v>メンタルヘルスの休職相談</x:v>
      </x:c>
      <x:c r="E128" s="69" t="str">
        <x:v>Present day; an occupational health consultation. No supernatural rule is added.</x:v>
      </x:c>
      <x:c r="F128" s="69" t="str">
        <x:v>an employee asking for temporary leave without disclosing more than necessary</x:v>
      </x:c>
      <x:c r="G128" s="69" t="str">
        <x:v>Dr. Elena Morris, the occupational physician</x:v>
      </x:c>
      <x:c r="H128" s="69" t="str">
        <x:v>Juniper</x:v>
      </x:c>
      <x:c r="I128" s="69" t="str">
        <x:v>開放的で明るい。相談、再会、親密な会話に合う</x:v>
      </x:c>
      <x:c r="J128" s="69" t="str">
        <x:v>B1–B2</x:v>
      </x:c>
      <x:c r="K128" s="69" t="str">
        <x:v>ふつう</x:v>
      </x:c>
      <x:c r="L128" s="69" t="str">
        <x:v>2〜3文で自然に受け答え</x:v>
      </x:c>
      <x:c r="M128" s="69" t="str">
        <x:v>boundary setting and functional description</x:v>
      </x:c>
      <x:c r="N128" s="69" t="str">
        <x:v>one-to-one; the employer needs a; boundary setting</x:v>
      </x:c>
      <x:c r="O128" s="69" t="str">
        <x:v>calm, humane, and precise</x:v>
      </x:c>
      <x:c r="P128" s="71" t="n">
        <x:v>12</x:v>
      </x:c>
      <x:c r="Q128" s="69" t="str">
        <x:v>describe work impact, set privacy limits, and discuss accommodations</x:v>
      </x:c>
      <x:c r="R128" s="69" t="str">
        <x:v>the employer needs a recommendation by afternoon</x:v>
      </x:c>
      <x:c r="S128" s="69" t="str">
        <x:v>Green</x:v>
      </x:c>
      <x:c r="T128" s="69" t="str">
        <x:v>IES_v10_8_02_SCENE_CARDS.md#M11</x:v>
      </x:c>
      <x:c r="U128" s="69" t="str">
        <x:v>メンタルヘルスの休職相談</x:v>
      </x:c>
      <x:c r="V128" s="69" t="str">
        <x:v>Dr. Elena Morris pushes on "the employer needs a recommendation by", and the whole exchange turns on boundary setting and functional.</x:v>
      </x:c>
      <x:c r="W128" s="69" t="str">
        <x:v>practical</x:v>
      </x:c>
    </x:row>
    <x:row r="129" ht="44" customHeight="1">
      <x:c r="A129" s="69" t="str">
        <x:v>M12</x:v>
      </x:c>
      <x:c r="B129" s="69" t="str">
        <x:v>医療・ケア</x:v>
      </x:c>
      <x:c r="C129" s="69" t="str">
        <x:v>Before the Operating Room</x:v>
      </x:c>
      <x:c r="D129" s="69" t="str">
        <x:v>手術前の最後の質問</x:v>
      </x:c>
      <x:c r="E129" s="69" t="str">
        <x:v>Present day; a preoperative bay shortly before anesthesia. No supernatural rule is added.</x:v>
      </x:c>
      <x:c r="F129" s="69" t="str">
        <x:v>the patient with a new concern</x:v>
      </x:c>
      <x:c r="G129" s="69" t="str">
        <x:v>Dr. Olivia Hart, the surgeon leading the procedure</x:v>
      </x:c>
      <x:c r="H129" s="69" t="str">
        <x:v>Juniper</x:v>
      </x:c>
      <x:c r="I129" s="69" t="str">
        <x:v>開放的で明るい。相談、再会、親密な会話に合う</x:v>
      </x:c>
      <x:c r="J129" s="69" t="str">
        <x:v>A2–B2</x:v>
      </x:c>
      <x:c r="K129" s="69" t="str">
        <x:v>やさしい</x:v>
      </x:c>
      <x:c r="L129" s="69" t="str">
        <x:v>短い返事でOK。選択肢や言い換えあり</x:v>
      </x:c>
      <x:c r="M129" s="69" t="str">
        <x:v>high-stakes questions and confirmation</x:v>
      </x:c>
      <x:c r="N129" s="69" t="str">
        <x:v>one-to-one; the operating room is; high-stakes questions</x:v>
      </x:c>
      <x:c r="O129" s="69" t="str">
        <x:v>calm, humane, and precise</x:v>
      </x:c>
      <x:c r="P129" s="71" t="n">
        <x:v>10</x:v>
      </x:c>
      <x:c r="Q129" s="69" t="str">
        <x:v>ask the final questions and confirm what would change the plan</x:v>
      </x:c>
      <x:c r="R129" s="69" t="str">
        <x:v>the operating room is ready now</x:v>
      </x:c>
      <x:c r="S129" s="69" t="str">
        <x:v>Green</x:v>
      </x:c>
      <x:c r="T129" s="69" t="str">
        <x:v>IES_v10_8_02_SCENE_CARDS.md#M12</x:v>
      </x:c>
      <x:c r="U129" s="69" t="str">
        <x:v>手術前の最後の質問</x:v>
      </x:c>
      <x:c r="V129" s="69" t="str">
        <x:v>Dr. Olivia Hart pushes on "the operating room is ready now", and the whole exchange turns on high-stakes questions and confirmation.</x:v>
      </x:c>
      <x:c r="W129" s="69" t="str">
        <x:v>practical</x:v>
      </x:c>
    </x:row>
    <x:row r="130" ht="44" customHeight="1">
      <x:c r="A130" s="69" t="str">
        <x:v>M13</x:v>
      </x:c>
      <x:c r="B130" s="69" t="str">
        <x:v>医療・ケア</x:v>
      </x:c>
      <x:c r="C130" s="69" t="str">
        <x:v>The Side Effect Question</x:v>
      </x:c>
      <x:c r="D130" s="69" t="str">
        <x:v>薬の副作用を疑う夜</x:v>
      </x:c>
      <x:c r="E130" s="69" t="str">
        <x:v>Present day; a late-night pharmacy consultation. No supernatural rule is added.</x:v>
      </x:c>
      <x:c r="F130" s="69" t="str">
        <x:v>a customer experiencing a new symptom after medication</x:v>
      </x:c>
      <x:c r="G130" s="69" t="str">
        <x:v>Pharmacist Hana Lee, the only clinician available</x:v>
      </x:c>
      <x:c r="H130" s="69" t="str">
        <x:v>Juniper</x:v>
      </x:c>
      <x:c r="I130" s="69" t="str">
        <x:v>開放的で明るい。相談、再会、親密な会話に合う</x:v>
      </x:c>
      <x:c r="J130" s="69" t="str">
        <x:v>A2–B1</x:v>
      </x:c>
      <x:c r="K130" s="69" t="str">
        <x:v>やさしい</x:v>
      </x:c>
      <x:c r="L130" s="69" t="str">
        <x:v>短い返事でOK。選択肢や言い換えあり</x:v>
      </x:c>
      <x:c r="M130" s="69" t="str">
        <x:v>medication questions and safety instructions</x:v>
      </x:c>
      <x:c r="N130" s="69" t="str">
        <x:v>one-to-one; the nearest clinic is; medication questions</x:v>
      </x:c>
      <x:c r="O130" s="69" t="str">
        <x:v>calm, humane, and precise</x:v>
      </x:c>
      <x:c r="P130" s="71" t="n">
        <x:v>8</x:v>
      </x:c>
      <x:c r="Q130" s="69" t="str">
        <x:v>describe timing, check danger signs, and decide the next action</x:v>
      </x:c>
      <x:c r="R130" s="69" t="str">
        <x:v>the nearest clinic is closing soon</x:v>
      </x:c>
      <x:c r="S130" s="69" t="str">
        <x:v>Green</x:v>
      </x:c>
      <x:c r="T130" s="69" t="str">
        <x:v>IES_v10_8_02_SCENE_CARDS.md#M13</x:v>
      </x:c>
      <x:c r="U130" s="69" t="str">
        <x:v>薬の副作用を疑う夜</x:v>
      </x:c>
      <x:c r="V130" s="69" t="str">
        <x:v>Pharmacist Hana Lee pushes on "the nearest clinic is closing soon", and the whole exchange turns on medication questions and safety.</x:v>
      </x:c>
      <x:c r="W130" s="69" t="str">
        <x:v>practical</x:v>
      </x:c>
    </x:row>
    <x:row r="131" ht="44" customHeight="1">
      <x:c r="A131" s="69" t="str">
        <x:v>M14</x:v>
      </x:c>
      <x:c r="B131" s="69" t="str">
        <x:v>医療・ケア</x:v>
      </x:c>
      <x:c r="C131" s="69" t="str">
        <x:v>The Home-Care Choice</x:v>
      </x:c>
      <x:c r="D131" s="69" t="str">
        <x:v>在宅看取りの選択</x:v>
      </x:c>
      <x:c r="E131" s="69" t="str">
        <x:v>Present day; a family home during a palliative-care planning visit. No supernatural rule is added.</x:v>
      </x:c>
      <x:c r="F131" s="69" t="str">
        <x:v>the relative coordinating care</x:v>
      </x:c>
      <x:c r="G131" s="69" t="str">
        <x:v>Nurse Rachel Young, the palliative-care specialist</x:v>
      </x:c>
      <x:c r="H131" s="69" t="str">
        <x:v>Juniper</x:v>
      </x:c>
      <x:c r="I131" s="69" t="str">
        <x:v>開放的で明るい。相談、再会、親密な会話に合う</x:v>
      </x:c>
      <x:c r="J131" s="69" t="str">
        <x:v>B2–C1</x:v>
      </x:c>
      <x:c r="K131" s="69" t="str">
        <x:v>しっかり</x:v>
      </x:c>
      <x:c r="L131" s="69" t="str">
        <x:v>理由説明や交渉まで</x:v>
      </x:c>
      <x:c r="M131" s="69" t="str">
        <x:v>values-based planning and empathy</x:v>
      </x:c>
      <x:c r="N131" s="69" t="str">
        <x:v>one-to-one; family members disagree and; values-based planning</x:v>
      </x:c>
      <x:c r="O131" s="69" t="str">
        <x:v>calm, humane, and precise</x:v>
      </x:c>
      <x:c r="P131" s="71" t="n">
        <x:v>15</x:v>
      </x:c>
      <x:c r="Q131" s="69" t="str">
        <x:v>clarify priorities, support, and what emergencies would change the plan</x:v>
      </x:c>
      <x:c r="R131" s="69" t="str">
        <x:v>family members disagree and the patient is resting nearby</x:v>
      </x:c>
      <x:c r="S131" s="69" t="str">
        <x:v>Green</x:v>
      </x:c>
      <x:c r="T131" s="69" t="str">
        <x:v>IES_v10_8_02_SCENE_CARDS.md#M14</x:v>
      </x:c>
      <x:c r="U131" s="69" t="str">
        <x:v>在宅看取りの選択</x:v>
      </x:c>
      <x:c r="V131" s="69" t="str">
        <x:v>Nurse Rachel Young pushes on "family members disagree and the patient", and the whole exchange turns on values-based planning and empathy.</x:v>
      </x:c>
      <x:c r="W131" s="69" t="str">
        <x:v>practical</x:v>
      </x:c>
    </x:row>
    <x:row r="132" ht="44" customHeight="1">
      <x:c r="A132" s="69" t="str">
        <x:v>M15</x:v>
      </x:c>
      <x:c r="B132" s="69" t="str">
        <x:v>医療・ケア</x:v>
      </x:c>
      <x:c r="C132" s="69" t="str">
        <x:v>Why Am I Waiting?</x:v>
      </x:c>
      <x:c r="D132" s="69" t="str">
        <x:v>救急外来の優先順位</x:v>
      </x:c>
      <x:c r="E132" s="69" t="str">
        <x:v>Present day; an overcrowded emergency department. No supernatural rule is added.</x:v>
      </x:c>
      <x:c r="F132" s="69" t="str">
        <x:v>the triage nurse responding to an angry but stable patient</x:v>
      </x:c>
      <x:c r="G132" s="69" t="str">
        <x:v>Ava Robinson, the patient demanding immediate care</x:v>
      </x:c>
      <x:c r="H132" s="69" t="str">
        <x:v>Breeze</x:v>
      </x:c>
      <x:c r="I132" s="69" t="str">
        <x:v>表情豊かで真剣。緊迫、怪異、冒険に合う</x:v>
      </x:c>
      <x:c r="J132" s="69" t="str">
        <x:v>B1–B2</x:v>
      </x:c>
      <x:c r="K132" s="69" t="str">
        <x:v>ふつう</x:v>
      </x:c>
      <x:c r="L132" s="69" t="str">
        <x:v>2〜3文で自然に受け答え</x:v>
      </x:c>
      <x:c r="M132" s="69" t="str">
        <x:v>de-escalation and transparent explanation</x:v>
      </x:c>
      <x:c r="N132" s="69" t="str">
        <x:v>one-to-one; another emergency has just; de-escalation</x:v>
      </x:c>
      <x:c r="O132" s="69" t="str">
        <x:v>calm, humane, and precise</x:v>
      </x:c>
      <x:c r="P132" s="71" t="n">
        <x:v>10</x:v>
      </x:c>
      <x:c r="Q132" s="69" t="str">
        <x:v>explain triage, reassess symptoms, and offer a safe waiting plan</x:v>
      </x:c>
      <x:c r="R132" s="69" t="str">
        <x:v>another emergency has just taken the last treatment room</x:v>
      </x:c>
      <x:c r="S132" s="69" t="str">
        <x:v>Green</x:v>
      </x:c>
      <x:c r="T132" s="69" t="str">
        <x:v>IES_v10_8_02_SCENE_CARDS.md#M15</x:v>
      </x:c>
      <x:c r="U132" s="69" t="str">
        <x:v>救急外来の優先順位</x:v>
      </x:c>
      <x:c r="V132" s="69" t="str">
        <x:v>Ava Robinson pushes on "another emergency has just taken the", and the whole exchange turns on de-escalation and transparent explanation.</x:v>
      </x:c>
      <x:c r="W132" s="69" t="str">
        <x:v>practical</x:v>
      </x:c>
    </x:row>
    <x:row r="133" ht="44" customHeight="1">
      <x:c r="A133" s="69" t="str">
        <x:v>M16</x:v>
      </x:c>
      <x:c r="B133" s="69" t="str">
        <x:v>医療・ケア</x:v>
      </x:c>
      <x:c r="C133" s="69" t="str">
        <x:v>Before the Label</x:v>
      </x:c>
      <x:c r="D133" s="69" t="str">
        <x:v>診断名より先に</x:v>
      </x:c>
      <x:c r="E133" s="69" t="str">
        <x:v>Present day; a specialist clinic discussing uncertain test findings. No supernatural rule is added.</x:v>
      </x:c>
      <x:c r="F133" s="69" t="str">
        <x:v>the patient who wants a definite diagnosis</x:v>
      </x:c>
      <x:c r="G133" s="69" t="str">
        <x:v>Dr. Layla Ahmed, the specialist unwilling to guess</x:v>
      </x:c>
      <x:c r="H133" s="69" t="str">
        <x:v>Juniper</x:v>
      </x:c>
      <x:c r="I133" s="69" t="str">
        <x:v>開放的で明るい。相談、再会、親密な会話に合う</x:v>
      </x:c>
      <x:c r="J133" s="69" t="str">
        <x:v>B1–C1</x:v>
      </x:c>
      <x:c r="K133" s="69" t="str">
        <x:v>ふつう</x:v>
      </x:c>
      <x:c r="L133" s="69" t="str">
        <x:v>2〜3文で自然に受け答え</x:v>
      </x:c>
      <x:c r="M133" s="69" t="str">
        <x:v>uncertainty language and follow-up questions</x:v>
      </x:c>
      <x:c r="N133" s="69" t="str">
        <x:v>one-to-one; online research has convinced; uncertainty language</x:v>
      </x:c>
      <x:c r="O133" s="69" t="str">
        <x:v>calm, humane, and precise</x:v>
      </x:c>
      <x:c r="P133" s="71" t="n">
        <x:v>12</x:v>
      </x:c>
      <x:c r="Q133" s="69" t="str">
        <x:v>separate confirmed facts from possibilities and plan the next test</x:v>
      </x:c>
      <x:c r="R133" s="69" t="str">
        <x:v>online research has convinced you of a frightening diagnosis</x:v>
      </x:c>
      <x:c r="S133" s="69" t="str">
        <x:v>Green</x:v>
      </x:c>
      <x:c r="T133" s="69" t="str">
        <x:v>IES_v10_8_02_SCENE_CARDS.md#M16</x:v>
      </x:c>
      <x:c r="U133" s="69" t="str">
        <x:v>診断名より先に</x:v>
      </x:c>
      <x:c r="V133" s="69" t="str">
        <x:v>Dr. Layla Ahmed pushes on "online research has convinced you of", and the whole exchange turns on uncertainty language and follow-up.</x:v>
      </x:c>
      <x:c r="W133" s="69" t="str">
        <x:v>practical</x:v>
      </x:c>
    </x:row>
    <x:row r="134" ht="44" customHeight="1">
      <x:c r="A134" s="69" t="str">
        <x:v>M17</x:v>
      </x:c>
      <x:c r="B134" s="69" t="str">
        <x:v>医療・ケア</x:v>
      </x:c>
      <x:c r="C134" s="69" t="str">
        <x:v>The Pet Emergency</x:v>
      </x:c>
      <x:c r="D134" s="69" t="str">
        <x:v>動物病院の緊急判断</x:v>
      </x:c>
      <x:c r="E134" s="69" t="str">
        <x:v>Present day; a veterinary clinic near closing time. No supernatural rule is added.</x:v>
      </x:c>
      <x:c r="F134" s="69" t="str">
        <x:v>a pet owner deciding between observation and emergency surgery</x:v>
      </x:c>
      <x:c r="G134" s="69" t="str">
        <x:v>Dr. Emily Stone, the veterinarian</x:v>
      </x:c>
      <x:c r="H134" s="69" t="str">
        <x:v>Juniper</x:v>
      </x:c>
      <x:c r="I134" s="69" t="str">
        <x:v>開放的で明るい。相談、再会、親密な会話に合う</x:v>
      </x:c>
      <x:c r="J134" s="69" t="str">
        <x:v>A2–B2</x:v>
      </x:c>
      <x:c r="K134" s="69" t="str">
        <x:v>やさしい</x:v>
      </x:c>
      <x:c r="L134" s="69" t="str">
        <x:v>短い返事でOK。選択肢や言い換えあり</x:v>
      </x:c>
      <x:c r="M134" s="69" t="str">
        <x:v>decision questions and paraphrasing</x:v>
      </x:c>
      <x:c r="N134" s="69" t="str">
        <x:v>one-to-one; the surgical team leaves; decision questions</x:v>
      </x:c>
      <x:c r="O134" s="69" t="str">
        <x:v>calm, humane, and precise</x:v>
      </x:c>
      <x:c r="P134" s="71" t="n">
        <x:v>10</x:v>
      </x:c>
      <x:c r="Q134" s="69" t="str">
        <x:v>understand the evidence, costs, and warning signs</x:v>
      </x:c>
      <x:c r="R134" s="69" t="str">
        <x:v>the surgical team leaves in twenty minutes</x:v>
      </x:c>
      <x:c r="S134" s="69" t="str">
        <x:v>Green</x:v>
      </x:c>
      <x:c r="T134" s="69" t="str">
        <x:v>IES_v10_8_02_SCENE_CARDS.md#M17</x:v>
      </x:c>
      <x:c r="U134" s="69" t="str">
        <x:v>動物病院の緊急判断</x:v>
      </x:c>
      <x:c r="V134" s="69" t="str">
        <x:v>Dr. Emily Stone pushes on "the surgical team leaves in twenty", and the whole exchange turns on decision questions and paraphrasing.</x:v>
      </x:c>
      <x:c r="W134" s="69" t="str">
        <x:v>practical</x:v>
      </x:c>
    </x:row>
    <x:row r="135" ht="44" customHeight="1">
      <x:c r="A135" s="69" t="str">
        <x:v>M18</x:v>
      </x:c>
      <x:c r="B135" s="69" t="str">
        <x:v>医療・ケア</x:v>
      </x:c>
      <x:c r="C135" s="69" t="str">
        <x:v>At the Blood Drive</x:v>
      </x:c>
      <x:c r="D135" s="69" t="str">
        <x:v>献血会場の異変</x:v>
      </x:c>
      <x:c r="E135" s="69" t="str">
        <x:v>Present day; a community blood-donation center. No supernatural rule is added.</x:v>
      </x:c>
      <x:c r="F135" s="69" t="str">
        <x:v>a volunteer who notices a donor becoming unwell</x:v>
      </x:c>
      <x:c r="G135" s="69" t="str">
        <x:v>Nurse Sofia Cruz, the site supervisor</x:v>
      </x:c>
      <x:c r="H135" s="69" t="str">
        <x:v>Juniper</x:v>
      </x:c>
      <x:c r="I135" s="69" t="str">
        <x:v>開放的で明るい。相談、再会、親密な会話に合う</x:v>
      </x:c>
      <x:c r="J135" s="69" t="str">
        <x:v>A2–B1</x:v>
      </x:c>
      <x:c r="K135" s="69" t="str">
        <x:v>やさしい</x:v>
      </x:c>
      <x:c r="L135" s="69" t="str">
        <x:v>短い返事でOK。選択肢や言い換えあり</x:v>
      </x:c>
      <x:c r="M135" s="69" t="str">
        <x:v>observation reporting and concise instructions</x:v>
      </x:c>
      <x:c r="N135" s="69" t="str">
        <x:v>one-to-one; the room is busy; observation reporting</x:v>
      </x:c>
      <x:c r="O135" s="69" t="str">
        <x:v>calm, humane, and precise</x:v>
      </x:c>
      <x:c r="P135" s="71" t="n">
        <x:v>8</x:v>
      </x:c>
      <x:c r="Q135" s="69" t="str">
        <x:v>report what you saw and help coordinate a safe response</x:v>
      </x:c>
      <x:c r="R135" s="69" t="str">
        <x:v>the room is busy and no alarm has been raised yet</x:v>
      </x:c>
      <x:c r="S135" s="69" t="str">
        <x:v>Green</x:v>
      </x:c>
      <x:c r="T135" s="69" t="str">
        <x:v>IES_v10_8_02_SCENE_CARDS.md#M18</x:v>
      </x:c>
      <x:c r="U135" s="69" t="str">
        <x:v>献血会場の異変</x:v>
      </x:c>
      <x:c r="V135" s="69" t="str">
        <x:v>Nurse Sofia Cruz pushes on "the room is busy and no", and the whole exchange turns on observation reporting and concise.</x:v>
      </x:c>
      <x:c r="W135" s="69" t="str">
        <x:v>practical</x:v>
      </x:c>
    </x:row>
    <x:row r="136" ht="44" customHeight="1">
      <x:c r="A136" s="69" t="str">
        <x:v>M19</x:v>
      </x:c>
      <x:c r="B136" s="69" t="str">
        <x:v>医療・ケア</x:v>
      </x:c>
      <x:c r="C136" s="69" t="str">
        <x:v>The Disclosure Meeting</x:v>
      </x:c>
      <x:c r="D136" s="69" t="str">
        <x:v>医療ミスの説明</x:v>
      </x:c>
      <x:c r="E136" s="69" t="str">
        <x:v>Present day; a hospital office after a medication error is discovered. No supernatural rule is added.</x:v>
      </x:c>
      <x:c r="F136" s="69" t="str">
        <x:v>the clinician preparing to speak with the affected patient</x:v>
      </x:c>
      <x:c r="G136" s="69" t="str">
        <x:v>Dr. Irene Walsh, the patient-safety officer</x:v>
      </x:c>
      <x:c r="H136" s="69" t="str">
        <x:v>Juniper</x:v>
      </x:c>
      <x:c r="I136" s="69" t="str">
        <x:v>開放的で明るい。相談、再会、親密な会話に合う</x:v>
      </x:c>
      <x:c r="J136" s="69" t="str">
        <x:v>B2–C1</x:v>
      </x:c>
      <x:c r="K136" s="69" t="str">
        <x:v>しっかり</x:v>
      </x:c>
      <x:c r="L136" s="69" t="str">
        <x:v>理由説明や交渉まで</x:v>
      </x:c>
      <x:c r="M136" s="69" t="str">
        <x:v>accountability and transparent explanation</x:v>
      </x:c>
      <x:c r="N136" s="69" t="str">
        <x:v>one-to-one; leadership wants to delay; accountability</x:v>
      </x:c>
      <x:c r="O136" s="69" t="str">
        <x:v>calm, humane, and precise</x:v>
      </x:c>
      <x:c r="P136" s="71" t="n">
        <x:v>15</x:v>
      </x:c>
      <x:c r="Q136" s="69" t="str">
        <x:v>state what happened, apologize, and explain immediate protections</x:v>
      </x:c>
      <x:c r="R136" s="69" t="str">
        <x:v>leadership wants to delay disclosure until every detail is known</x:v>
      </x:c>
      <x:c r="S136" s="69" t="str">
        <x:v>Green</x:v>
      </x:c>
      <x:c r="T136" s="69" t="str">
        <x:v>IES_v10_8_02_SCENE_CARDS.md#M19</x:v>
      </x:c>
      <x:c r="U136" s="69" t="str">
        <x:v>医療ミスの説明</x:v>
      </x:c>
      <x:c r="V136" s="69" t="str">
        <x:v>Dr. Irene Walsh pushes on "leadership wants to delay disclosure until", and the whole exchange turns on accountability and transparent explanation.</x:v>
      </x:c>
      <x:c r="W136" s="69" t="str">
        <x:v>practical</x:v>
      </x:c>
    </x:row>
    <x:row r="137" ht="44" customHeight="1">
      <x:c r="A137" s="69" t="str">
        <x:v>M20</x:v>
      </x:c>
      <x:c r="B137" s="69" t="str">
        <x:v>医療・ケア</x:v>
      </x:c>
      <x:c r="C137" s="69" t="str">
        <x:v>Ready to Go Home?</x:v>
      </x:c>
      <x:c r="D137" s="69" t="str">
        <x:v>退院できるかの面談</x:v>
      </x:c>
      <x:c r="E137" s="69" t="str">
        <x:v>Present day; a discharge-planning meeting. No supernatural rule is added.</x:v>
      </x:c>
      <x:c r="F137" s="69" t="str">
        <x:v>a patient eager to leave despite unresolved support needs</x:v>
      </x:c>
      <x:c r="G137" s="69" t="str">
        <x:v>Case Manager Nina Patel, coordinating home services</x:v>
      </x:c>
      <x:c r="H137" s="69" t="str">
        <x:v>Juniper</x:v>
      </x:c>
      <x:c r="I137" s="69" t="str">
        <x:v>開放的で明るい。相談、再会、親密な会話に合う</x:v>
      </x:c>
      <x:c r="J137" s="69" t="str">
        <x:v>B1–B2</x:v>
      </x:c>
      <x:c r="K137" s="69" t="str">
        <x:v>ふつう</x:v>
      </x:c>
      <x:c r="L137" s="69" t="str">
        <x:v>2〜3文で自然に受け答え</x:v>
      </x:c>
      <x:c r="M137" s="69" t="str">
        <x:v>needs assessment and conditional planning</x:v>
      </x:c>
      <x:c r="N137" s="69" t="str">
        <x:v>one-to-one; the bed is needed; needs assessment</x:v>
      </x:c>
      <x:c r="O137" s="69" t="str">
        <x:v>calm, humane, and precise</x:v>
      </x:c>
      <x:c r="P137" s="71" t="n">
        <x:v>12</x:v>
      </x:c>
      <x:c r="Q137" s="69" t="str">
        <x:v>identify practical barriers and agree on minimum safe conditions</x:v>
      </x:c>
      <x:c r="R137" s="69" t="str">
        <x:v>the bed is needed, but the home has stairs and no caregiver tonight</x:v>
      </x:c>
      <x:c r="S137" s="69" t="str">
        <x:v>Green</x:v>
      </x:c>
      <x:c r="T137" s="69" t="str">
        <x:v>IES_v10_8_02_SCENE_CARDS.md#M20</x:v>
      </x:c>
      <x:c r="U137" s="69" t="str">
        <x:v>退院できるかの面談</x:v>
      </x:c>
      <x:c r="V137" s="69" t="str">
        <x:v>Case Manager Nina Patel pushes on "the bed is needed, but the", and the whole exchange turns on needs assessment and conditional.</x:v>
      </x:c>
      <x:c r="W137" s="69" t="str">
        <x:v>practical</x:v>
      </x:c>
    </x:row>
    <x:row r="138" ht="44" customHeight="1">
      <x:c r="A138" s="69" t="str">
        <x:v>M21</x:v>
      </x:c>
      <x:c r="B138" s="69" t="str">
        <x:v>医療・ケア</x:v>
      </x:c>
      <x:c r="C138" s="69" t="str">
        <x:v>Returning to Work</x:v>
      </x:c>
      <x:c r="D138" s="69" t="str">
        <x:v>産業保健の復職判定</x:v>
      </x:c>
      <x:c r="E138" s="69" t="str">
        <x:v>Present day; an occupational health office before a phased return. No supernatural rule is added.</x:v>
      </x:c>
      <x:c r="F138" s="69" t="str">
        <x:v>the employee seeking modified duties</x:v>
      </x:c>
      <x:c r="G138" s="69" t="str">
        <x:v>Dr. Claire Wilson, the physician evaluating readiness</x:v>
      </x:c>
      <x:c r="H138" s="69" t="str">
        <x:v>Juniper</x:v>
      </x:c>
      <x:c r="I138" s="69" t="str">
        <x:v>開放的で明るい。相談、再会、親密な会話に合う</x:v>
      </x:c>
      <x:c r="J138" s="69" t="str">
        <x:v>B1–B2</x:v>
      </x:c>
      <x:c r="K138" s="69" t="str">
        <x:v>ふつう</x:v>
      </x:c>
      <x:c r="L138" s="69" t="str">
        <x:v>2〜3文で自然に受け答え</x:v>
      </x:c>
      <x:c r="M138" s="69" t="str">
        <x:v>functional language and accommodation requests</x:v>
      </x:c>
      <x:c r="N138" s="69" t="str">
        <x:v>one-to-one; your manager expects a; functional language</x:v>
      </x:c>
      <x:c r="O138" s="69" t="str">
        <x:v>calm, humane, and precise</x:v>
      </x:c>
      <x:c r="P138" s="71" t="n">
        <x:v>12</x:v>
      </x:c>
      <x:c r="Q138" s="69" t="str">
        <x:v>explain capabilities and negotiate restrictions without self-disqualification</x:v>
      </x:c>
      <x:c r="R138" s="69" t="str">
        <x:v>your manager expects a yes-or-no answer today</x:v>
      </x:c>
      <x:c r="S138" s="69" t="str">
        <x:v>Green</x:v>
      </x:c>
      <x:c r="T138" s="69" t="str">
        <x:v>IES_v10_8_02_SCENE_CARDS.md#M21</x:v>
      </x:c>
      <x:c r="U138" s="69" t="str">
        <x:v>産業保健の復職判定</x:v>
      </x:c>
      <x:c r="V138" s="69" t="str">
        <x:v>Dr. Claire Wilson pushes on "your manager expects a yes-or-no answer", and the whole exchange turns on functional language and accommodation.</x:v>
      </x:c>
      <x:c r="W138" s="69" t="str">
        <x:v>practical</x:v>
      </x:c>
    </x:row>
    <x:row r="139" ht="44" customHeight="1">
      <x:c r="A139" s="69" t="str">
        <x:v>M22</x:v>
      </x:c>
      <x:c r="B139" s="69" t="str">
        <x:v>医療・ケア</x:v>
      </x:c>
      <x:c r="C139" s="69" t="str">
        <x:v>The Field Clinic</x:v>
      </x:c>
      <x:c r="D139" s="69" t="str">
        <x:v>災害現場の医療連携</x:v>
      </x:c>
      <x:c r="E139" s="69" t="str">
        <x:v>Present day; a temporary clinic after a major earthquake. No supernatural rule is added.</x:v>
      </x:c>
      <x:c r="F139" s="69" t="str">
        <x:v>the volunteer coordinating limited supplies</x:v>
      </x:c>
      <x:c r="G139" s="69" t="str">
        <x:v>Dr. Amina Yusuf, the field medical lead</x:v>
      </x:c>
      <x:c r="H139" s="69" t="str">
        <x:v>Juniper</x:v>
      </x:c>
      <x:c r="I139" s="69" t="str">
        <x:v>開放的で明るい。相談、再会、親密な会話に合う</x:v>
      </x:c>
      <x:c r="J139" s="69" t="str">
        <x:v>B1–C1</x:v>
      </x:c>
      <x:c r="K139" s="69" t="str">
        <x:v>ふつう</x:v>
      </x:c>
      <x:c r="L139" s="69" t="str">
        <x:v>2〜3文で自然に受け答え</x:v>
      </x:c>
      <x:c r="M139" s="69" t="str">
        <x:v>resource prioritization and concise coordination</x:v>
      </x:c>
      <x:c r="N139" s="69" t="str">
        <x:v>one-to-one; oxygen and transport are; resource prioritization</x:v>
      </x:c>
      <x:c r="O139" s="69" t="str">
        <x:v>calm, humane, and precise</x:v>
      </x:c>
      <x:c r="P139" s="71" t="n">
        <x:v>12</x:v>
      </x:c>
      <x:c r="Q139" s="69" t="str">
        <x:v>prioritize needs and request resources precisely</x:v>
      </x:c>
      <x:c r="R139" s="69" t="str">
        <x:v>oxygen and transport are both running out</x:v>
      </x:c>
      <x:c r="S139" s="69" t="str">
        <x:v>Green</x:v>
      </x:c>
      <x:c r="T139" s="69" t="str">
        <x:v>IES_v10_8_02_SCENE_CARDS.md#M22</x:v>
      </x:c>
      <x:c r="U139" s="69" t="str">
        <x:v>災害現場の医療連携</x:v>
      </x:c>
      <x:c r="V139" s="69" t="str">
        <x:v>Dr. Amina Yusuf pushes on "oxygen and transport are both running", and the whole exchange turns on resource prioritization and concise.</x:v>
      </x:c>
      <x:c r="W139" s="69" t="str">
        <x:v>practical</x:v>
      </x:c>
    </x:row>
    <x:row r="140" ht="44" customHeight="1">
      <x:c r="A140" s="69" t="str">
        <x:v>M23</x:v>
      </x:c>
      <x:c r="B140" s="69" t="str">
        <x:v>医療・ケア</x:v>
      </x:c>
      <x:c r="C140" s="69" t="str">
        <x:v>Ten Minutes Before the Result</x:v>
      </x:c>
      <x:c r="D140" s="69" t="str">
        <x:v>検査結果を待つ十分間</x:v>
      </x:c>
      <x:c r="E140" s="69" t="str">
        <x:v>Present day; a clinic hallway while urgent lab results are processed. No supernatural rule is added.</x:v>
      </x:c>
      <x:c r="F140" s="69" t="str">
        <x:v>the patient trying to stay calm before the news</x:v>
      </x:c>
      <x:c r="G140" s="69" t="str">
        <x:v>Dr. Wren Castillo, keeping you informed without overpromising</x:v>
      </x:c>
      <x:c r="H140" s="69" t="str">
        <x:v>Juniper</x:v>
      </x:c>
      <x:c r="I140" s="69" t="str">
        <x:v>開放的で明るい。相談、再会、親密な会話に合う</x:v>
      </x:c>
      <x:c r="J140" s="69" t="str">
        <x:v>A2–B2</x:v>
      </x:c>
      <x:c r="K140" s="69" t="str">
        <x:v>やさしい</x:v>
      </x:c>
      <x:c r="L140" s="69" t="str">
        <x:v>短い返事でOK。選択肢や言い換えあり</x:v>
      </x:c>
      <x:c r="M140" s="69" t="str">
        <x:v>composed questioning and emotional pacing</x:v>
      </x:c>
      <x:c r="N140" s="69" t="str">
        <x:v>one-to-one; the machine has already; composed questioning</x:v>
      </x:c>
      <x:c r="O140" s="69" t="str">
        <x:v>calm, humane, and precise</x:v>
      </x:c>
      <x:c r="P140" s="71" t="n">
        <x:v>8</x:v>
      </x:c>
      <x:c r="Q140" s="69" t="str">
        <x:v>ask precise questions and prepare for either outcome</x:v>
      </x:c>
      <x:c r="R140" s="69" t="str">
        <x:v>the machine has already printed once and needs to be rerun</x:v>
      </x:c>
      <x:c r="S140" s="69" t="str">
        <x:v>Green</x:v>
      </x:c>
      <x:c r="T140" s="69" t="str">
        <x:v>IES_v10_8_02_SCENE_CARDS.md#M23</x:v>
      </x:c>
      <x:c r="U140" s="69" t="str">
        <x:v>検査結果を待つ十分間</x:v>
      </x:c>
      <x:c r="V140" s="69" t="str">
        <x:v>Dr. Wren Castillo pushes on "the machine has already printed once", and the whole exchange turns on composed questioning and emotional.</x:v>
      </x:c>
      <x:c r="W140" s="69" t="str">
        <x:v>practical</x:v>
      </x:c>
    </x:row>
    <x:row r="141" ht="44" customHeight="1">
      <x:c r="A141" s="69" t="str">
        <x:v>M24</x:v>
      </x:c>
      <x:c r="B141" s="69" t="str">
        <x:v>医療・ケア</x:v>
      </x:c>
      <x:c r="C141" s="69" t="str">
        <x:v>The Second Opinion</x:v>
      </x:c>
      <x:c r="D141" s="69" t="str">
        <x:v>second opinionを求める患者</x:v>
      </x:c>
      <x:c r="E141" s="69" t="str">
        <x:v>Present day; a specialist's office after a patient requests another view. No supernatural rule is added.</x:v>
      </x:c>
      <x:c r="F141" s="69" t="str">
        <x:v>the specialist whose diagnosis is being questioned</x:v>
      </x:c>
      <x:c r="G141" s="69" t="str">
        <x:v>Dr. Mireille Okafor, the referring physician sitting in on the call</x:v>
      </x:c>
      <x:c r="H141" s="69" t="str">
        <x:v>Juniper</x:v>
      </x:c>
      <x:c r="I141" s="69" t="str">
        <x:v>開放的で明るい。相談、再会、親密な会話に合う</x:v>
      </x:c>
      <x:c r="J141" s="69" t="str">
        <x:v>B1–C1</x:v>
      </x:c>
      <x:c r="K141" s="69" t="str">
        <x:v>ふつう</x:v>
      </x:c>
      <x:c r="L141" s="69" t="str">
        <x:v>2〜3文で自然に受け答え</x:v>
      </x:c>
      <x:c r="M141" s="69" t="str">
        <x:v>reasoned explanation and respectful disagreement</x:v>
      </x:c>
      <x:c r="N141" s="69" t="str">
        <x:v>one-to-one; the first specialist's plan; reasoned explanation</x:v>
      </x:c>
      <x:c r="O141" s="69" t="str">
        <x:v>calm, humane, and precise</x:v>
      </x:c>
      <x:c r="P141" s="71" t="n">
        <x:v>12</x:v>
      </x:c>
      <x:c r="Q141" s="69" t="str">
        <x:v>explain your reasoning without dismissing the patient's caution</x:v>
      </x:c>
      <x:c r="R141" s="69" t="str">
        <x:v>the first specialist's plan starts tomorrow regardless</x:v>
      </x:c>
      <x:c r="S141" s="69" t="str">
        <x:v>Green</x:v>
      </x:c>
      <x:c r="T141" s="69" t="str">
        <x:v>IES_v10_8_02_SCENE_CARDS.md#M24</x:v>
      </x:c>
      <x:c r="U141" s="69" t="str">
        <x:v>second opinionを求める患者</x:v>
      </x:c>
      <x:c r="V141" s="69" t="str">
        <x:v>Dr. Mireille Okafor pushes on "the first specialist's plan starts tomorrow", and the whole exchange turns on reasoned explanation and respectful.</x:v>
      </x:c>
      <x:c r="W141" s="69" t="str">
        <x:v>practical</x:v>
      </x:c>
    </x:row>
    <x:row r="142" ht="44" customHeight="1">
      <x:c r="A142" s="69" t="str">
        <x:v>M25</x:v>
      </x:c>
      <x:c r="B142" s="69" t="str">
        <x:v>医療・ケア</x:v>
      </x:c>
      <x:c r="C142" s="69" t="str">
        <x:v>The Pharmacy Shortage</x:v>
      </x:c>
      <x:c r="D142" s="69" t="str">
        <x:v>薬局の在庫切れ交渉</x:v>
      </x:c>
      <x:c r="E142" s="69" t="str">
        <x:v>Present day; a pharmacy counter during a nationwide medication shortage. No supernatural rule is added.</x:v>
      </x:c>
      <x:c r="F142" s="69" t="str">
        <x:v>the pharmacist managing a waiting line of urgent needs</x:v>
      </x:c>
      <x:c r="G142" s="69" t="str">
        <x:v>Patient Advocate Renee Tully, requesting priority for a fragile client</x:v>
      </x:c>
      <x:c r="H142" s="69" t="str">
        <x:v>Juniper</x:v>
      </x:c>
      <x:c r="I142" s="69" t="str">
        <x:v>開放的で明るい。相談、再会、親密な会話に合う</x:v>
      </x:c>
      <x:c r="J142" s="69" t="str">
        <x:v>A2–B1</x:v>
      </x:c>
      <x:c r="K142" s="69" t="str">
        <x:v>やさしい</x:v>
      </x:c>
      <x:c r="L142" s="69" t="str">
        <x:v>短い返事でOK。選択肢や言い換えあり</x:v>
      </x:c>
      <x:c r="M142" s="69" t="str">
        <x:v>constraint explanation and problem-solving</x:v>
      </x:c>
      <x:c r="N142" s="69" t="str">
        <x:v>one-to-one; only three days of; constraint explanation</x:v>
      </x:c>
      <x:c r="O142" s="69" t="str">
        <x:v>calm, humane, and precise</x:v>
      </x:c>
      <x:c r="P142" s="71" t="n">
        <x:v>8</x:v>
      </x:c>
      <x:c r="Q142" s="69" t="str">
        <x:v>explain constraints honestly and find a workable substitute</x:v>
      </x:c>
      <x:c r="R142" s="69" t="str">
        <x:v>only three days of alternative supply remain in the building</x:v>
      </x:c>
      <x:c r="S142" s="69" t="str">
        <x:v>Green</x:v>
      </x:c>
      <x:c r="T142" s="69" t="str">
        <x:v>IES_v10_8_02_SCENE_CARDS.md#M25</x:v>
      </x:c>
      <x:c r="U142" s="69" t="str">
        <x:v>薬局の在庫切れ交渉</x:v>
      </x:c>
      <x:c r="V142" s="69" t="str">
        <x:v>Patient Advocate Renee Tully pushes on "only three days of alternative supply", and the whole exchange turns on constraint explanation and problem-solving.</x:v>
      </x:c>
      <x:c r="W142" s="69" t="str">
        <x:v>practical</x:v>
      </x:c>
    </x:row>
    <x:row r="143" ht="44" customHeight="1">
      <x:c r="A143" s="69" t="str">
        <x:v>M26</x:v>
      </x:c>
      <x:c r="B143" s="69" t="str">
        <x:v>医療・ケア</x:v>
      </x:c>
      <x:c r="C143" s="69" t="str">
        <x:v>The First Therapy Session</x:v>
      </x:c>
      <x:c r="D143" s="69" t="str">
        <x:v>臨床心理士との初回面談</x:v>
      </x:c>
      <x:c r="E143" s="69" t="str">
        <x:v>Present day; a counseling room on a first, cautious visit. No supernatural rule is added.</x:v>
      </x:c>
      <x:c r="F143" s="69" t="str">
        <x:v>the client uncertain how much to disclose</x:v>
      </x:c>
      <x:c r="G143" s="69" t="str">
        <x:v>Therapist Joelle Marchetti, patient and unhurried</x:v>
      </x:c>
      <x:c r="H143" s="69" t="str">
        <x:v>Juniper</x:v>
      </x:c>
      <x:c r="I143" s="69" t="str">
        <x:v>開放的で明るい。相談、再会、親密な会話に合う</x:v>
      </x:c>
      <x:c r="J143" s="69" t="str">
        <x:v>A2–B2</x:v>
      </x:c>
      <x:c r="K143" s="69" t="str">
        <x:v>やさしい</x:v>
      </x:c>
      <x:c r="L143" s="69" t="str">
        <x:v>短い返事でOK。選択肢や言い換えあり</x:v>
      </x:c>
      <x:c r="M143" s="69" t="str">
        <x:v>self-disclosure and pacing control</x:v>
      </x:c>
      <x:c r="N143" s="69" t="str">
        <x:v>one-to-one; the intake form asks; self-disclosure</x:v>
      </x:c>
      <x:c r="O143" s="69" t="str">
        <x:v>calm, humane, and precise</x:v>
      </x:c>
      <x:c r="P143" s="71" t="n">
        <x:v>12</x:v>
      </x:c>
      <x:c r="Q143" s="69" t="str">
        <x:v>describe what brought you here at your own pace</x:v>
      </x:c>
      <x:c r="R143" s="69" t="str">
        <x:v>the intake form asks questions you are not ready to answer directly</x:v>
      </x:c>
      <x:c r="S143" s="69" t="str">
        <x:v>Green</x:v>
      </x:c>
      <x:c r="T143" s="69" t="str">
        <x:v>IES_v10_8_02_SCENE_CARDS.md#M26</x:v>
      </x:c>
      <x:c r="U143" s="69" t="str">
        <x:v>臨床心理士との初回面談</x:v>
      </x:c>
      <x:c r="V143" s="69" t="str">
        <x:v>Therapist Joelle Marchetti pushes on "the intake form asks questions you", and the whole exchange turns on self-disclosure and pacing control.</x:v>
      </x:c>
      <x:c r="W143" s="69" t="str">
        <x:v>practical</x:v>
      </x:c>
    </x:row>
    <x:row r="144" ht="44" customHeight="1">
      <x:c r="A144" s="69" t="str">
        <x:v>M27</x:v>
      </x:c>
      <x:c r="B144" s="69" t="str">
        <x:v>医療・ケア</x:v>
      </x:c>
      <x:c r="C144" s="69" t="str">
        <x:v>The Visitation Limit</x:v>
      </x:c>
      <x:c r="D144" s="69" t="str">
        <x:v>介護施設の面会制限</x:v>
      </x:c>
      <x:c r="E144" s="69" t="str">
        <x:v>Present day; a care-facility front desk during a temporary illness outbreak. No supernatural rule is added.</x:v>
      </x:c>
      <x:c r="F144" s="69" t="str">
        <x:v>the family member requesting an exception to see a parent</x:v>
      </x:c>
      <x:c r="G144" s="69" t="str">
        <x:v>Facility Director Ingrid Solberg, enforcing a necessary but painful rule</x:v>
      </x:c>
      <x:c r="H144" s="69" t="str">
        <x:v>Juniper</x:v>
      </x:c>
      <x:c r="I144" s="69" t="str">
        <x:v>開放的で明るい。相談、再会、親密な会話に合う</x:v>
      </x:c>
      <x:c r="J144" s="69" t="str">
        <x:v>B1–B2</x:v>
      </x:c>
      <x:c r="K144" s="69" t="str">
        <x:v>ふつう</x:v>
      </x:c>
      <x:c r="L144" s="69" t="str">
        <x:v>2〜3文で自然に受け答え</x:v>
      </x:c>
      <x:c r="M144" s="69" t="str">
        <x:v>persuasive appeal and rule respect</x:v>
      </x:c>
      <x:c r="N144" s="69" t="str">
        <x:v>one-to-one; your parent's condition changed; persuasive appeal</x:v>
      </x:c>
      <x:c r="O144" s="69" t="str">
        <x:v>calm, humane, and precise</x:v>
      </x:c>
      <x:c r="P144" s="71" t="n">
        <x:v>10</x:v>
      </x:c>
      <x:c r="Q144" s="69" t="str">
        <x:v>make your case while respecting the safety reasoning behind it</x:v>
      </x:c>
      <x:c r="R144" s="69" t="str">
        <x:v>your parent's condition changed overnight and information is limited</x:v>
      </x:c>
      <x:c r="S144" s="69" t="str">
        <x:v>Green</x:v>
      </x:c>
      <x:c r="T144" s="69" t="str">
        <x:v>IES_v10_8_02_SCENE_CARDS.md#M27</x:v>
      </x:c>
      <x:c r="U144" s="69" t="str">
        <x:v>介護施設の面会制限</x:v>
      </x:c>
      <x:c r="V144" s="69" t="str">
        <x:v>Facility Director Ingrid Solberg pushes on "your parent's condition changed overnight and", and the whole exchange turns on persuasive appeal and rule.</x:v>
      </x:c>
      <x:c r="W144" s="69" t="str">
        <x:v>practical</x:v>
      </x:c>
    </x:row>
    <x:row r="145" ht="44" customHeight="1">
      <x:c r="A145" s="69" t="str">
        <x:v>M28</x:v>
      </x:c>
      <x:c r="B145" s="69" t="str">
        <x:v>医療・ケア</x:v>
      </x:c>
      <x:c r="C145" s="69" t="str">
        <x:v>The Follow-Up Call</x:v>
      </x:c>
      <x:c r="D145" s="69" t="str">
        <x:v>健康診断の再検査通知</x:v>
      </x:c>
      <x:c r="E145" s="69" t="str">
        <x:v>Present day; a phone call after a routine screening flags an abnormal result. No supernatural rule is added.</x:v>
      </x:c>
      <x:c r="F145" s="69" t="str">
        <x:v>the patient who assumed the checkup was routine</x:v>
      </x:c>
      <x:c r="G145" s="69" t="str">
        <x:v>Nurse Coordinator Bianca Reyes, explaining next steps calmly</x:v>
      </x:c>
      <x:c r="H145" s="69" t="str">
        <x:v>Juniper</x:v>
      </x:c>
      <x:c r="I145" s="69" t="str">
        <x:v>開放的で明るい。相談、再会、親密な会話に合う</x:v>
      </x:c>
      <x:c r="J145" s="69" t="str">
        <x:v>A2–B1</x:v>
      </x:c>
      <x:c r="K145" s="69" t="str">
        <x:v>やさしい</x:v>
      </x:c>
      <x:c r="L145" s="69" t="str">
        <x:v>短い返事でOK。選択肢や言い換えあり</x:v>
      </x:c>
      <x:c r="M145" s="69" t="str">
        <x:v>calibrated concern and scheduling</x:v>
      </x:c>
      <x:c r="N145" s="69" t="str">
        <x:v>one-to-one; the recommended follow-up window; calibrated concern</x:v>
      </x:c>
      <x:c r="O145" s="69" t="str">
        <x:v>calm, humane, and precise</x:v>
      </x:c>
      <x:c r="P145" s="71" t="n">
        <x:v>8</x:v>
      </x:c>
      <x:c r="Q145" s="69" t="str">
        <x:v>understand urgency without catastrophizing and confirm a plan</x:v>
      </x:c>
      <x:c r="R145" s="69" t="str">
        <x:v>the recommended follow-up window is only two weeks</x:v>
      </x:c>
      <x:c r="S145" s="69" t="str">
        <x:v>Green</x:v>
      </x:c>
      <x:c r="T145" s="69" t="str">
        <x:v>IES_v10_8_02_SCENE_CARDS.md#M28</x:v>
      </x:c>
      <x:c r="U145" s="69" t="str">
        <x:v>健康診断の再検査通知</x:v>
      </x:c>
      <x:c r="V145" s="69" t="str">
        <x:v>Nurse Coordinator Bianca Reyes pushes on "the recommended follow-up window is only", and the whole exchange turns on calibrated concern and scheduling.</x:v>
      </x:c>
      <x:c r="W145" s="69" t="str">
        <x:v>practical</x:v>
      </x:c>
    </x:row>
    <x:row r="146" ht="44" customHeight="1">
      <x:c r="A146" s="69" t="str">
        <x:v>M29</x:v>
      </x:c>
      <x:c r="B146" s="69" t="str">
        <x:v>医療・ケア</x:v>
      </x:c>
      <x:c r="C146" s="69" t="str">
        <x:v>Consent Across Languages</x:v>
      </x:c>
      <x:c r="D146" s="69" t="str">
        <x:v>多言語外来の同意説明</x:v>
      </x:c>
      <x:c r="E146" s="69" t="str">
        <x:v>Present day; a surgical consent conversation supported by a bilingual nurse. No supernatural rule is added.</x:v>
      </x:c>
      <x:c r="F146" s="69" t="str">
        <x:v>the patient signing a form they only partly understand</x:v>
      </x:c>
      <x:c r="G146" s="69" t="str">
        <x:v>Nurse Odalys Ferreira, translating and checking true comprehension</x:v>
      </x:c>
      <x:c r="H146" s="69" t="str">
        <x:v>Juniper</x:v>
      </x:c>
      <x:c r="I146" s="69" t="str">
        <x:v>開放的で明るい。相談、再会、親密な会話に合う</x:v>
      </x:c>
      <x:c r="J146" s="69" t="str">
        <x:v>B1–B2</x:v>
      </x:c>
      <x:c r="K146" s="69" t="str">
        <x:v>ふつう</x:v>
      </x:c>
      <x:c r="L146" s="69" t="str">
        <x:v>2〜3文で自然に受け答え</x:v>
      </x:c>
      <x:c r="M146" s="69" t="str">
        <x:v>comprehension checks and informed consent</x:v>
      </x:c>
      <x:c r="N146" s="69" t="str">
        <x:v>one-to-one; the surgical slot is; comprehension checks</x:v>
      </x:c>
      <x:c r="O146" s="69" t="str">
        <x:v>calm, humane, and precise</x:v>
      </x:c>
      <x:c r="P146" s="71" t="n">
        <x:v>12</x:v>
      </x:c>
      <x:c r="Q146" s="69" t="str">
        <x:v>ask until every risk and alternative is genuinely clear</x:v>
      </x:c>
      <x:c r="R146" s="69" t="str">
        <x:v>the surgical slot is the only one available this month</x:v>
      </x:c>
      <x:c r="S146" s="69" t="str">
        <x:v>Green</x:v>
      </x:c>
      <x:c r="T146" s="69" t="str">
        <x:v>IES_v10_8_02_SCENE_CARDS.md#M29</x:v>
      </x:c>
      <x:c r="U146" s="69" t="str">
        <x:v>多言語外来の同意説明</x:v>
      </x:c>
      <x:c r="V146" s="69" t="str">
        <x:v>Nurse Odalys Ferreira pushes on "the surgical slot is the only", and the whole exchange turns on comprehension checks and informed.</x:v>
      </x:c>
      <x:c r="W146" s="69" t="str">
        <x:v>practical</x:v>
      </x:c>
    </x:row>
    <x:row r="147" ht="44" customHeight="1">
      <x:c r="A147" s="69" t="str">
        <x:v>M30</x:v>
      </x:c>
      <x:c r="B147" s="69" t="str">
        <x:v>医療・ケア</x:v>
      </x:c>
      <x:c r="C147" s="69" t="str">
        <x:v>The Ambulance Report Discrepancy</x:v>
      </x:c>
      <x:c r="D147" s="69" t="str">
        <x:v>救急隊員の記録齟齬</x:v>
      </x:c>
      <x:c r="E147" s="69" t="str">
        <x:v>Present day; an ER intake desk where two accounts of an incident do not match. No supernatural rule is added.</x:v>
      </x:c>
      <x:c r="F147" s="69" t="str">
        <x:v>the paramedic defending a documented timeline</x:v>
      </x:c>
      <x:c r="G147" s="69" t="str">
        <x:v>Dr. Halima Aden, reconciling records before treatment continues</x:v>
      </x:c>
      <x:c r="H147" s="69" t="str">
        <x:v>Juniper</x:v>
      </x:c>
      <x:c r="I147" s="69" t="str">
        <x:v>開放的で明るい。相談、再会、親密な会話に合う</x:v>
      </x:c>
      <x:c r="J147" s="69" t="str">
        <x:v>B1–B2</x:v>
      </x:c>
      <x:c r="K147" s="69" t="str">
        <x:v>ふつう</x:v>
      </x:c>
      <x:c r="L147" s="69" t="str">
        <x:v>2〜3文で自然に受け答え</x:v>
      </x:c>
      <x:c r="M147" s="69" t="str">
        <x:v>precise sequencing and professional composure</x:v>
      </x:c>
      <x:c r="N147" s="69" t="str">
        <x:v>one-to-one; treatment decisions depend on; precise sequencing</x:v>
      </x:c>
      <x:c r="O147" s="69" t="str">
        <x:v>calm, humane, and precise</x:v>
      </x:c>
      <x:c r="P147" s="71" t="n">
        <x:v>10</x:v>
      </x:c>
      <x:c r="Q147" s="69" t="str">
        <x:v>walk through the sequence precisely under time pressure</x:v>
      </x:c>
      <x:c r="R147" s="69" t="str">
        <x:v>treatment decisions depend on which version is accurate</x:v>
      </x:c>
      <x:c r="S147" s="69" t="str">
        <x:v>Green</x:v>
      </x:c>
      <x:c r="T147" s="69" t="str">
        <x:v>IES_v10_8_02_SCENE_CARDS.md#M30</x:v>
      </x:c>
      <x:c r="U147" s="69" t="str">
        <x:v>救急隊員の記録齟齬</x:v>
      </x:c>
      <x:c r="V147" s="69" t="str">
        <x:v>Dr. Halima Aden pushes on "treatment decisions depend on which version", and the whole exchange turns on precise sequencing and professional.</x:v>
      </x:c>
      <x:c r="W147" s="69" t="str">
        <x:v>practical</x:v>
      </x:c>
    </x:row>
    <x:row r="148" ht="44" customHeight="1">
      <x:c r="A148" s="69" t="str">
        <x:v>M31</x:v>
      </x:c>
      <x:c r="B148" s="69" t="str">
        <x:v>医療・ケア</x:v>
      </x:c>
      <x:c r="C148" s="69" t="str">
        <x:v>The Donation Conversation</x:v>
      </x:c>
      <x:c r="D148" s="69" t="str">
        <x:v>臓器提供の意思確認</x:v>
      </x:c>
      <x:c r="E148" s="69" t="str">
        <x:v>Present day; a hospital family room during an impossibly difficult decision. No supernatural rule is added.</x:v>
      </x:c>
      <x:c r="F148" s="69" t="str">
        <x:v>the coordinator required to ask a lawful, gentle question</x:v>
      </x:c>
      <x:c r="G148" s="69" t="str">
        <x:v>Chaplain Noor Haddad, present to support the family</x:v>
      </x:c>
      <x:c r="H148" s="69" t="str">
        <x:v>Juniper</x:v>
      </x:c>
      <x:c r="I148" s="69" t="str">
        <x:v>開放的で明るい。相談、再会、親密な会話に合う</x:v>
      </x:c>
      <x:c r="J148" s="69" t="str">
        <x:v>B2–C1</x:v>
      </x:c>
      <x:c r="K148" s="69" t="str">
        <x:v>しっかり</x:v>
      </x:c>
      <x:c r="L148" s="69" t="str">
        <x:v>理由説明や交渉まで</x:v>
      </x:c>
      <x:c r="M148" s="69" t="str">
        <x:v>compassionate clarity and procedural honesty</x:v>
      </x:c>
      <x:c r="N148" s="69" t="str">
        <x:v>one-to-one; a narrow medical window; compassionate clarity</x:v>
      </x:c>
      <x:c r="O148" s="69" t="str">
        <x:v>calm, humane, and precise</x:v>
      </x:c>
      <x:c r="P148" s="71" t="n">
        <x:v>15</x:v>
      </x:c>
      <x:c r="Q148" s="69" t="str">
        <x:v>explain the process with clarity and compassion under grief</x:v>
      </x:c>
      <x:c r="R148" s="69" t="str">
        <x:v>a narrow medical window makes timing unavoidable</x:v>
      </x:c>
      <x:c r="S148" s="69" t="str">
        <x:v>Green</x:v>
      </x:c>
      <x:c r="T148" s="69" t="str">
        <x:v>IES_v10_8_02_SCENE_CARDS.md#M31</x:v>
      </x:c>
      <x:c r="U148" s="69" t="str">
        <x:v>臓器提供の意思確認</x:v>
      </x:c>
      <x:c r="V148" s="69" t="str">
        <x:v>Chaplain Noor Haddad pushes on "a narrow medical window makes timing", and the whole exchange turns on compassionate clarity and procedural.</x:v>
      </x:c>
      <x:c r="W148" s="69" t="str">
        <x:v>practical</x:v>
      </x:c>
    </x:row>
    <x:row r="149" ht="44" customHeight="1">
      <x:c r="A149" s="69" t="str">
        <x:v>M32</x:v>
      </x:c>
      <x:c r="B149" s="69" t="str">
        <x:v>医療・ケア</x:v>
      </x:c>
      <x:c r="C149" s="69" t="str">
        <x:v>The Vaccine Hesitancy Conversation</x:v>
      </x:c>
      <x:c r="D149" s="69" t="str">
        <x:v>予防接種を迷う親との対話</x:v>
      </x:c>
      <x:c r="E149" s="69" t="str">
        <x:v>Present day; a pediatric clinic where a parent has real, specific concerns. No supernatural rule is added.</x:v>
      </x:c>
      <x:c r="F149" s="69" t="str">
        <x:v>the clinician asked to address doubt without dismissing it</x:v>
      </x:c>
      <x:c r="G149" s="69" t="str">
        <x:v>Parent Advocate Wren Ashby, a nurse liaison sitting in to support both sides</x:v>
      </x:c>
      <x:c r="H149" s="69" t="str">
        <x:v>Juniper</x:v>
      </x:c>
      <x:c r="I149" s="69" t="str">
        <x:v>開放的で明るい。相談、再会、親密な会話に合う</x:v>
      </x:c>
      <x:c r="J149" s="69" t="str">
        <x:v>B1–B2</x:v>
      </x:c>
      <x:c r="K149" s="69" t="str">
        <x:v>ふつう</x:v>
      </x:c>
      <x:c r="L149" s="69" t="str">
        <x:v>2〜3文で自然に受け答え</x:v>
      </x:c>
      <x:c r="M149" s="69" t="str">
        <x:v>respectful evidence-based persuasion</x:v>
      </x:c>
      <x:c r="N149" s="69" t="str">
        <x:v>one-to-one; the parent has already; respectful evidence-based persuasion</x:v>
      </x:c>
      <x:c r="O149" s="69" t="str">
        <x:v>calm, humane, and precise</x:v>
      </x:c>
      <x:c r="P149" s="71" t="n">
        <x:v>12</x:v>
      </x:c>
      <x:c r="Q149" s="69" t="str">
        <x:v>answer specific concerns with evidence and genuine respect</x:v>
      </x:c>
      <x:c r="R149" s="69" t="str">
        <x:v>the parent has already left twice without deciding</x:v>
      </x:c>
      <x:c r="S149" s="69" t="str">
        <x:v>Green</x:v>
      </x:c>
      <x:c r="T149" s="69" t="str">
        <x:v>IES_v10_8_02_SCENE_CARDS.md#M32</x:v>
      </x:c>
      <x:c r="U149" s="69" t="str">
        <x:v>予防接種を迷う親との対話</x:v>
      </x:c>
      <x:c r="V149" s="69" t="str">
        <x:v>Parent Advocate Wren Ashby pushes on "the parent has already left twice", and the whole exchange turns on respectful evidence-based persuasion.</x:v>
      </x:c>
      <x:c r="W149" s="69" t="str">
        <x:v>practical</x:v>
      </x:c>
    </x:row>
    <x:row r="150" ht="44" customHeight="1">
      <x:c r="A150" s="69" t="str">
        <x:v>L01</x:v>
      </x:c>
      <x:c r="B150" s="69" t="str">
        <x:v>法律・公共</x:v>
      </x:c>
      <x:c r="C150" s="69" t="str">
        <x:v>The Witness Changes Her Story</x:v>
      </x:c>
      <x:c r="D150" s="69" t="str">
        <x:v>証言を変えた目撃者</x:v>
      </x:c>
      <x:c r="E150" s="69" t="str">
        <x:v>Present day; a courthouse interview room before a hearing. No supernatural rule is added.</x:v>
      </x:c>
      <x:c r="F150" s="69" t="str">
        <x:v>the investigator reviewing a changed statement</x:v>
      </x:c>
      <x:c r="G150" s="69" t="str">
        <x:v>Detective Mara Ellis, the witness liaison</x:v>
      </x:c>
      <x:c r="H150" s="69" t="str">
        <x:v>Breeze</x:v>
      </x:c>
      <x:c r="I150" s="69" t="str">
        <x:v>表情豊かで真剣。緊迫、怪異、冒険に合う</x:v>
      </x:c>
      <x:c r="J150" s="69" t="str">
        <x:v>B2–C1</x:v>
      </x:c>
      <x:c r="K150" s="69" t="str">
        <x:v>しっかり</x:v>
      </x:c>
      <x:c r="L150" s="69" t="str">
        <x:v>理由説明や交渉まで</x:v>
      </x:c>
      <x:c r="M150" s="69" t="str">
        <x:v>neutral questioning and timeline checking</x:v>
      </x:c>
      <x:c r="N150" s="69" t="str">
        <x:v>one-to-one; the hearing begins in; neutral questioning</x:v>
      </x:c>
      <x:c r="O150" s="69" t="str">
        <x:v>procedural, tense, and fair</x:v>
      </x:c>
      <x:c r="P150" s="71" t="n">
        <x:v>12</x:v>
      </x:c>
      <x:c r="Q150" s="69" t="str">
        <x:v>understand why the account changed without leading the witness</x:v>
      </x:c>
      <x:c r="R150" s="69" t="str">
        <x:v>the hearing begins in forty minutes</x:v>
      </x:c>
      <x:c r="S150" s="69" t="str">
        <x:v>Green</x:v>
      </x:c>
      <x:c r="T150" s="69" t="str">
        <x:v>IES_v10_8_02_SCENE_CARDS.md#L01</x:v>
      </x:c>
      <x:c r="U150" s="69" t="str">
        <x:v>証言を変えた目撃者</x:v>
      </x:c>
      <x:c r="V150" s="69" t="str">
        <x:v>Detective Mara Ellis pushes on "the hearing begins in forty minutes", and the whole exchange turns on neutral questioning and timeline.</x:v>
      </x:c>
      <x:c r="W150" s="69" t="str">
        <x:v>practical</x:v>
      </x:c>
    </x:row>
    <x:row r="151" ht="44" customHeight="1">
      <x:c r="A151" s="69" t="str">
        <x:v>L02</x:v>
      </x:c>
      <x:c r="B151" s="69" t="str">
        <x:v>法律・公共</x:v>
      </x:c>
      <x:c r="C151" s="69" t="str">
        <x:v>The Eviction Notice</x:v>
      </x:c>
      <x:c r="D151" s="69" t="str">
        <x:v>立ち退き通知への相談</x:v>
      </x:c>
      <x:c r="E151" s="69" t="str">
        <x:v>Present day; a legal-aid office after an unexpected notice arrives. No supernatural rule is added.</x:v>
      </x:c>
      <x:c r="F151" s="69" t="str">
        <x:v>the tenant seeking urgent advice</x:v>
      </x:c>
      <x:c r="G151" s="69" t="str">
        <x:v>Attorney Sofia Reyes, the housing lawyer</x:v>
      </x:c>
      <x:c r="H151" s="69" t="str">
        <x:v>Breeze</x:v>
      </x:c>
      <x:c r="I151" s="69" t="str">
        <x:v>表情豊かで真剣。緊迫、怪異、冒険に合う</x:v>
      </x:c>
      <x:c r="J151" s="69" t="str">
        <x:v>B1–B2</x:v>
      </x:c>
      <x:c r="K151" s="69" t="str">
        <x:v>ふつう</x:v>
      </x:c>
      <x:c r="L151" s="69" t="str">
        <x:v>2〜3文で自然に受け答え</x:v>
      </x:c>
      <x:c r="M151" s="69" t="str">
        <x:v>legal fact description and action planning</x:v>
      </x:c>
      <x:c r="N151" s="69" t="str">
        <x:v>one-to-one; the notice claims you; legal fact description</x:v>
      </x:c>
      <x:c r="O151" s="69" t="str">
        <x:v>procedural, tense, and fair</x:v>
      </x:c>
      <x:c r="P151" s="71" t="n">
        <x:v>12</x:v>
      </x:c>
      <x:c r="Q151" s="69" t="str">
        <x:v>explain the facts, identify deadlines, and choose a response</x:v>
      </x:c>
      <x:c r="R151" s="69" t="str">
        <x:v>the notice claims you must leave in three days</x:v>
      </x:c>
      <x:c r="S151" s="69" t="str">
        <x:v>Green</x:v>
      </x:c>
      <x:c r="T151" s="69" t="str">
        <x:v>IES_v10_8_02_SCENE_CARDS.md#L02</x:v>
      </x:c>
      <x:c r="U151" s="69" t="str">
        <x:v>立ち退き通知への相談</x:v>
      </x:c>
      <x:c r="V151" s="69" t="str">
        <x:v>Attorney Sofia Reyes pushes on "the notice claims you must leave", and the whole exchange turns on legal fact description and.</x:v>
      </x:c>
      <x:c r="W151" s="69" t="str">
        <x:v>practical</x:v>
      </x:c>
    </x:row>
    <x:row r="152" ht="44" customHeight="1">
      <x:c r="A152" s="69" t="str">
        <x:v>L03</x:v>
      </x:c>
      <x:c r="B152" s="69" t="str">
        <x:v>法律・公共</x:v>
      </x:c>
      <x:c r="C152" s="69" t="str">
        <x:v>The Challenged Library Book</x:v>
      </x:c>
      <x:c r="D152" s="69" t="str">
        <x:v>図書館の禁止本</x:v>
      </x:c>
      <x:c r="E152" s="69" t="str">
        <x:v>Present day; a public library office after a formal complaint. No supernatural rule is added.</x:v>
      </x:c>
      <x:c r="F152" s="69" t="str">
        <x:v>the librarian responsible for the collection</x:v>
      </x:c>
      <x:c r="G152" s="69" t="str">
        <x:v>Director Grace Miller, the library head</x:v>
      </x:c>
      <x:c r="H152" s="69" t="str">
        <x:v>Breeze</x:v>
      </x:c>
      <x:c r="I152" s="69" t="str">
        <x:v>表情豊かで真剣。緊迫、怪異、冒険に合う</x:v>
      </x:c>
      <x:c r="J152" s="69" t="str">
        <x:v>B1–C1</x:v>
      </x:c>
      <x:c r="K152" s="69" t="str">
        <x:v>ふつう</x:v>
      </x:c>
      <x:c r="L152" s="69" t="str">
        <x:v>2〜3文で自然に受け答え</x:v>
      </x:c>
      <x:c r="M152" s="69" t="str">
        <x:v>policy explanation and respectful disagreement</x:v>
      </x:c>
      <x:c r="N152" s="69" t="str">
        <x:v>one-to-one; a public meeting starts; policy explanation</x:v>
      </x:c>
      <x:c r="O152" s="69" t="str">
        <x:v>procedural, tense, and fair</x:v>
      </x:c>
      <x:c r="P152" s="71" t="n">
        <x:v>12</x:v>
      </x:c>
      <x:c r="Q152" s="69" t="str">
        <x:v>defend a fair review process without dismissing community concerns</x:v>
      </x:c>
      <x:c r="R152" s="69" t="str">
        <x:v>a public meeting starts tonight</x:v>
      </x:c>
      <x:c r="S152" s="69" t="str">
        <x:v>Green</x:v>
      </x:c>
      <x:c r="T152" s="69" t="str">
        <x:v>IES_v10_8_02_SCENE_CARDS.md#L03</x:v>
      </x:c>
      <x:c r="U152" s="69" t="str">
        <x:v>図書館の禁止本</x:v>
      </x:c>
      <x:c r="V152" s="69" t="str">
        <x:v>Director Grace Miller pushes on "a public meeting starts tonight", and the whole exchange turns on policy explanation and respectful.</x:v>
      </x:c>
      <x:c r="W152" s="69" t="str">
        <x:v>practical</x:v>
      </x:c>
    </x:row>
    <x:row r="153" ht="44" customHeight="1">
      <x:c r="A153" s="69" t="str">
        <x:v>L04</x:v>
      </x:c>
      <x:c r="B153" s="69" t="str">
        <x:v>法律・公共</x:v>
      </x:c>
      <x:c r="C153" s="69" t="str">
        <x:v>The Name on the Record</x:v>
      </x:c>
      <x:c r="D153" s="69" t="str">
        <x:v>市役所の名前訂正</x:v>
      </x:c>
      <x:c r="E153" s="69" t="str">
        <x:v>Present day; a municipal service counter with a mismatched identity record. No supernatural rule is added.</x:v>
      </x:c>
      <x:c r="F153" s="69" t="str">
        <x:v>the resident requesting a correction</x:v>
      </x:c>
      <x:c r="G153" s="69" t="str">
        <x:v>Clerk Hannah Price, the official who cannot bypass procedure</x:v>
      </x:c>
      <x:c r="H153" s="69" t="str">
        <x:v>Breeze</x:v>
      </x:c>
      <x:c r="I153" s="69" t="str">
        <x:v>表情豊かで真剣。緊迫、怪異、冒険に合う</x:v>
      </x:c>
      <x:c r="J153" s="69" t="str">
        <x:v>A2–B1</x:v>
      </x:c>
      <x:c r="K153" s="69" t="str">
        <x:v>やさしい</x:v>
      </x:c>
      <x:c r="L153" s="69" t="str">
        <x:v>短い返事でOK。選択肢や言い換えあり</x:v>
      </x:c>
      <x:c r="M153" s="69" t="str">
        <x:v>document clarification and formal requests</x:v>
      </x:c>
      <x:c r="N153" s="69" t="str">
        <x:v>one-to-one; the incorrect record blocks; document clarification</x:v>
      </x:c>
      <x:c r="O153" s="69" t="str">
        <x:v>procedural, tense, and fair</x:v>
      </x:c>
      <x:c r="P153" s="71" t="n">
        <x:v>10</x:v>
      </x:c>
      <x:c r="Q153" s="69" t="str">
        <x:v>establish the error and find an acceptable form of proof</x:v>
      </x:c>
      <x:c r="R153" s="69" t="str">
        <x:v>the incorrect record blocks travel tomorrow</x:v>
      </x:c>
      <x:c r="S153" s="69" t="str">
        <x:v>Green</x:v>
      </x:c>
      <x:c r="T153" s="69" t="str">
        <x:v>IES_v10_8_02_SCENE_CARDS.md#L04</x:v>
      </x:c>
      <x:c r="U153" s="69" t="str">
        <x:v>市役所の名前訂正</x:v>
      </x:c>
      <x:c r="V153" s="69" t="str">
        <x:v>Clerk Hannah Price pushes on "the incorrect record blocks travel tomorrow", and the whole exchange turns on document clarification and formal.</x:v>
      </x:c>
      <x:c r="W153" s="69" t="str">
        <x:v>practical</x:v>
      </x:c>
    </x:row>
    <x:row r="154" ht="44" customHeight="1">
      <x:c r="A154" s="69" t="str">
        <x:v>L05</x:v>
      </x:c>
      <x:c r="B154" s="69" t="str">
        <x:v>法律・公共</x:v>
      </x:c>
      <x:c r="C154" s="69" t="str">
        <x:v>Jury Selection</x:v>
      </x:c>
      <x:c r="D154" s="69" t="str">
        <x:v>陪審員候補への質問</x:v>
      </x:c>
      <x:c r="E154" s="69" t="str">
        <x:v>Present day; a courtroom during jury selection. No supernatural rule is added.</x:v>
      </x:c>
      <x:c r="F154" s="69" t="str">
        <x:v>a prospective juror with a possible conflict</x:v>
      </x:c>
      <x:c r="G154" s="69" t="str">
        <x:v>Judge Amelia Brooks, questioning your impartiality</x:v>
      </x:c>
      <x:c r="H154" s="69" t="str">
        <x:v>Breeze</x:v>
      </x:c>
      <x:c r="I154" s="69" t="str">
        <x:v>表情豊かで真剣。緊迫、怪異、冒険に合う</x:v>
      </x:c>
      <x:c r="J154" s="69" t="str">
        <x:v>B2–C1</x:v>
      </x:c>
      <x:c r="K154" s="69" t="str">
        <x:v>しっかり</x:v>
      </x:c>
      <x:c r="L154" s="69" t="str">
        <x:v>理由説明や交渉まで</x:v>
      </x:c>
      <x:c r="M154" s="69" t="str">
        <x:v>formal self-disclosure and clarification</x:v>
      </x:c>
      <x:c r="N154" s="69" t="str">
        <x:v>one-to-one; an incomplete answer could; formal self-disclosure</x:v>
      </x:c>
      <x:c r="O154" s="69" t="str">
        <x:v>procedural, tense, and fair</x:v>
      </x:c>
      <x:c r="P154" s="71" t="n">
        <x:v>10</x:v>
      </x:c>
      <x:c r="Q154" s="69" t="str">
        <x:v>explain the conflict honestly without arguing the case</x:v>
      </x:c>
      <x:c r="R154" s="69" t="str">
        <x:v>an incomplete answer could remove you or compromise the trial</x:v>
      </x:c>
      <x:c r="S154" s="69" t="str">
        <x:v>Green</x:v>
      </x:c>
      <x:c r="T154" s="69" t="str">
        <x:v>IES_v10_8_02_SCENE_CARDS.md#L05</x:v>
      </x:c>
      <x:c r="U154" s="69" t="str">
        <x:v>陪審員候補への質問</x:v>
      </x:c>
      <x:c r="V154" s="69" t="str">
        <x:v>Judge Amelia Brooks pushes on "an incomplete answer could remove you", and the whole exchange turns on formal self-disclosure and clarification.</x:v>
      </x:c>
      <x:c r="W154" s="69" t="str">
        <x:v>practical</x:v>
      </x:c>
    </x:row>
    <x:row r="155" ht="44" customHeight="1">
      <x:c r="A155" s="69" t="str">
        <x:v>L06</x:v>
      </x:c>
      <x:c r="B155" s="69" t="str">
        <x:v>法律・公共</x:v>
      </x:c>
      <x:c r="C155" s="69" t="str">
        <x:v>Making the Report</x:v>
      </x:c>
      <x:c r="D155" s="69" t="str">
        <x:v>警察への被害届</x:v>
      </x:c>
      <x:c r="E155" s="69" t="str">
        <x:v>Present day; a police station interview room. No supernatural rule is added.</x:v>
      </x:c>
      <x:c r="F155" s="69" t="str">
        <x:v>the person reporting repeated harassment</x:v>
      </x:c>
      <x:c r="G155" s="69" t="str">
        <x:v>Officer Dana Kim, the investigator taking the statement</x:v>
      </x:c>
      <x:c r="H155" s="69" t="str">
        <x:v>Breeze</x:v>
      </x:c>
      <x:c r="I155" s="69" t="str">
        <x:v>表情豊かで真剣。緊迫、怪異、冒険に合う</x:v>
      </x:c>
      <x:c r="J155" s="69" t="str">
        <x:v>B1–B2</x:v>
      </x:c>
      <x:c r="K155" s="69" t="str">
        <x:v>ふつう</x:v>
      </x:c>
      <x:c r="L155" s="69" t="str">
        <x:v>2〜3文で自然に受け答え</x:v>
      </x:c>
      <x:c r="M155" s="69" t="str">
        <x:v>incident narration and evidence language</x:v>
      </x:c>
      <x:c r="N155" s="69" t="str">
        <x:v>one-to-one; some messages have disappeared; incident narration</x:v>
      </x:c>
      <x:c r="O155" s="69" t="str">
        <x:v>procedural, tense, and fair</x:v>
      </x:c>
      <x:c r="P155" s="71" t="n">
        <x:v>12</x:v>
      </x:c>
      <x:c r="Q155" s="69" t="str">
        <x:v>give a clear chronology and distinguish evidence from fear</x:v>
      </x:c>
      <x:c r="R155" s="69" t="str">
        <x:v>some messages have disappeared from your phone</x:v>
      </x:c>
      <x:c r="S155" s="69" t="str">
        <x:v>Green</x:v>
      </x:c>
      <x:c r="T155" s="69" t="str">
        <x:v>IES_v10_8_02_SCENE_CARDS.md#L06</x:v>
      </x:c>
      <x:c r="U155" s="69" t="str">
        <x:v>警察への被害届</x:v>
      </x:c>
      <x:c r="V155" s="69" t="str">
        <x:v>Officer Dana Kim pushes on "some messages have disappeared from your", and the whole exchange turns on incident narration and evidence.</x:v>
      </x:c>
      <x:c r="W155" s="69" t="str">
        <x:v>practical</x:v>
      </x:c>
    </x:row>
    <x:row r="156" ht="44" customHeight="1">
      <x:c r="A156" s="69" t="str">
        <x:v>L07</x:v>
      </x:c>
      <x:c r="B156" s="69" t="str">
        <x:v>法律・公共</x:v>
      </x:c>
      <x:c r="C156" s="69" t="str">
        <x:v>Three Minutes at the Board</x:v>
      </x:c>
      <x:c r="D156" s="69" t="str">
        <x:v>学校委員会の公開発言</x:v>
      </x:c>
      <x:c r="E156" s="69" t="str">
        <x:v>Present day; a crowded school-board meeting. No supernatural rule is added.</x:v>
      </x:c>
      <x:c r="F156" s="69" t="str">
        <x:v>a community member speaking about a proposed policy</x:v>
      </x:c>
      <x:c r="G156" s="69" t="str">
        <x:v>Chairwoman Elise Grant, enforcing a strict time limit</x:v>
      </x:c>
      <x:c r="H156" s="69" t="str">
        <x:v>Breeze</x:v>
      </x:c>
      <x:c r="I156" s="69" t="str">
        <x:v>表情豊かで真剣。緊迫、怪異、冒険に合う</x:v>
      </x:c>
      <x:c r="J156" s="69" t="str">
        <x:v>B1–C1</x:v>
      </x:c>
      <x:c r="K156" s="69" t="str">
        <x:v>ふつう</x:v>
      </x:c>
      <x:c r="L156" s="69" t="str">
        <x:v>2〜3文で自然に受け答え</x:v>
      </x:c>
      <x:c r="M156" s="69" t="str">
        <x:v>public comment and concise persuasion</x:v>
      </x:c>
      <x:c r="N156" s="69" t="str">
        <x:v>one-to-one; your microphone cuts off; public comment</x:v>
      </x:c>
      <x:c r="O156" s="69" t="str">
        <x:v>procedural, tense, and fair</x:v>
      </x:c>
      <x:c r="P156" s="71" t="n">
        <x:v>8</x:v>
      </x:c>
      <x:c r="Q156" s="69" t="str">
        <x:v>make one persuasive request backed by a concrete example</x:v>
      </x:c>
      <x:c r="R156" s="69" t="str">
        <x:v>your microphone cuts off after three minutes</x:v>
      </x:c>
      <x:c r="S156" s="69" t="str">
        <x:v>Green</x:v>
      </x:c>
      <x:c r="T156" s="69" t="str">
        <x:v>IES_v10_8_02_SCENE_CARDS.md#L07</x:v>
      </x:c>
      <x:c r="U156" s="69" t="str">
        <x:v>学校委員会の公開発言</x:v>
      </x:c>
      <x:c r="V156" s="69" t="str">
        <x:v>Chairwoman Elise Grant pushes on "your microphone cuts off after three", and the whole exchange turns on public comment and concise.</x:v>
      </x:c>
      <x:c r="W156" s="69" t="str">
        <x:v>practical</x:v>
      </x:c>
    </x:row>
    <x:row r="157" ht="44" customHeight="1">
      <x:c r="A157" s="69" t="str">
        <x:v>L08</x:v>
      </x:c>
      <x:c r="B157" s="69" t="str">
        <x:v>法律・公共</x:v>
      </x:c>
      <x:c r="C157" s="69" t="str">
        <x:v>The Border Interview</x:v>
      </x:c>
      <x:c r="D157" s="69" t="str">
        <x:v>入国審査の矛盾</x:v>
      </x:c>
      <x:c r="E157" s="69" t="str">
        <x:v>Present day; an airport secondary-inspection room. No supernatural rule is added.</x:v>
      </x:c>
      <x:c r="F157" s="69" t="str">
        <x:v>a traveler whose itinerary appears inconsistent</x:v>
      </x:c>
      <x:c r="G157" s="69" t="str">
        <x:v>Officer Maya Foster, the immigration officer</x:v>
      </x:c>
      <x:c r="H157" s="69" t="str">
        <x:v>Breeze</x:v>
      </x:c>
      <x:c r="I157" s="69" t="str">
        <x:v>表情豊かで真剣。緊迫、怪異、冒険に合う</x:v>
      </x:c>
      <x:c r="J157" s="69" t="str">
        <x:v>A2–B2</x:v>
      </x:c>
      <x:c r="K157" s="69" t="str">
        <x:v>やさしい</x:v>
      </x:c>
      <x:c r="L157" s="69" t="str">
        <x:v>短い返事でOK。選択肢や言い換えあり</x:v>
      </x:c>
      <x:c r="M157" s="69" t="str">
        <x:v>precise travel explanation</x:v>
      </x:c>
      <x:c r="N157" s="69" t="str">
        <x:v>one-to-one; your connecting flight leaves; precise travel explanation</x:v>
      </x:c>
      <x:c r="O157" s="69" t="str">
        <x:v>procedural, tense, and fair</x:v>
      </x:c>
      <x:c r="P157" s="71" t="n">
        <x:v>10</x:v>
      </x:c>
      <x:c r="Q157" s="69" t="str">
        <x:v>clarify the timeline and provide accurate supporting facts</x:v>
      </x:c>
      <x:c r="R157" s="69" t="str">
        <x:v>your connecting flight leaves soon, but rushing may worsen suspicion</x:v>
      </x:c>
      <x:c r="S157" s="69" t="str">
        <x:v>Green</x:v>
      </x:c>
      <x:c r="T157" s="69" t="str">
        <x:v>IES_v10_8_02_SCENE_CARDS.md#L08</x:v>
      </x:c>
      <x:c r="U157" s="69" t="str">
        <x:v>入国審査の矛盾</x:v>
      </x:c>
      <x:c r="V157" s="69" t="str">
        <x:v>Officer Maya Foster pushes on "your connecting flight leaves soon, but", and the whole exchange turns on precise travel explanation.</x:v>
      </x:c>
      <x:c r="W157" s="69" t="str">
        <x:v>practical</x:v>
      </x:c>
    </x:row>
    <x:row r="158" ht="44" customHeight="1">
      <x:c r="A158" s="69" t="str">
        <x:v>L09</x:v>
      </x:c>
      <x:c r="B158" s="69" t="str">
        <x:v>法律・公共</x:v>
      </x:c>
      <x:c r="C158" s="69" t="str">
        <x:v>The Recorded Complaint</x:v>
      </x:c>
      <x:c r="D158" s="69" t="str">
        <x:v>消費者相談の録音</x:v>
      </x:c>
      <x:c r="E158" s="69" t="str">
        <x:v>Present day; a consumer-protection hotline. No supernatural rule is added.</x:v>
      </x:c>
      <x:c r="F158" s="69" t="str">
        <x:v>a customer disputing a recurring charge</x:v>
      </x:c>
      <x:c r="G158" s="69" t="str">
        <x:v>Investigator Nina Scott, the case officer</x:v>
      </x:c>
      <x:c r="H158" s="69" t="str">
        <x:v>Breeze</x:v>
      </x:c>
      <x:c r="I158" s="69" t="str">
        <x:v>表情豊かで真剣。緊迫、怪異、冒険に合う</x:v>
      </x:c>
      <x:c r="J158" s="69" t="str">
        <x:v>A2–B1</x:v>
      </x:c>
      <x:c r="K158" s="69" t="str">
        <x:v>やさしい</x:v>
      </x:c>
      <x:c r="L158" s="69" t="str">
        <x:v>短い返事でOK。選択肢や言い換えあり</x:v>
      </x:c>
      <x:c r="M158" s="69" t="str">
        <x:v>complaint structure and remedy requests</x:v>
      </x:c>
      <x:c r="N158" s="69" t="str">
        <x:v>one-to-one; the company says you; complaint structure</x:v>
      </x:c>
      <x:c r="O158" s="69" t="str">
        <x:v>procedural, tense, and fair</x:v>
      </x:c>
      <x:c r="P158" s="71" t="n">
        <x:v>10</x:v>
      </x:c>
      <x:c r="Q158" s="69" t="str">
        <x:v>state the issue, previous attempts, and desired remedy</x:v>
      </x:c>
      <x:c r="R158" s="69" t="str">
        <x:v>the company says you consented during a recorded call</x:v>
      </x:c>
      <x:c r="S158" s="69" t="str">
        <x:v>Green</x:v>
      </x:c>
      <x:c r="T158" s="69" t="str">
        <x:v>IES_v10_8_02_SCENE_CARDS.md#L09</x:v>
      </x:c>
      <x:c r="U158" s="69" t="str">
        <x:v>消費者相談の録音</x:v>
      </x:c>
      <x:c r="V158" s="69" t="str">
        <x:v>Investigator Nina Scott pushes on "the company says you consented during", and the whole exchange turns on complaint structure and remedy.</x:v>
      </x:c>
      <x:c r="W158" s="69" t="str">
        <x:v>practical</x:v>
      </x:c>
    </x:row>
    <x:row r="159" ht="44" customHeight="1">
      <x:c r="A159" s="69" t="str">
        <x:v>L10</x:v>
      </x:c>
      <x:c r="B159" s="69" t="str">
        <x:v>法律・公共</x:v>
      </x:c>
      <x:c r="C159" s="69" t="str">
        <x:v>Before the Press Conference</x:v>
      </x:c>
      <x:c r="D159" s="69" t="str">
        <x:v>記者会見前の危機対応</x:v>
      </x:c>
      <x:c r="E159" s="69" t="str">
        <x:v>Present day; a city emergency office during a water-quality incident. No supernatural rule is added.</x:v>
      </x:c>
      <x:c r="F159" s="69" t="str">
        <x:v>the public-information officer drafting the first statement</x:v>
      </x:c>
      <x:c r="G159" s="69" t="str">
        <x:v>Commissioner Leah Morgan, the official who wants stronger reassurance</x:v>
      </x:c>
      <x:c r="H159" s="69" t="str">
        <x:v>Breeze</x:v>
      </x:c>
      <x:c r="I159" s="69" t="str">
        <x:v>表情豊かで真剣。緊迫、怪異、冒険に合う</x:v>
      </x:c>
      <x:c r="J159" s="69" t="str">
        <x:v>B2–C1</x:v>
      </x:c>
      <x:c r="K159" s="69" t="str">
        <x:v>しっかり</x:v>
      </x:c>
      <x:c r="L159" s="69" t="str">
        <x:v>理由説明や交渉まで</x:v>
      </x:c>
      <x:c r="M159" s="69" t="str">
        <x:v>public-risk communication</x:v>
      </x:c>
      <x:c r="N159" s="69" t="str">
        <x:v>one-to-one; rumors are spreading faster; public-risk communication</x:v>
      </x:c>
      <x:c r="O159" s="69" t="str">
        <x:v>procedural, tense, and fair</x:v>
      </x:c>
      <x:c r="P159" s="71" t="n">
        <x:v>12</x:v>
      </x:c>
      <x:c r="Q159" s="69" t="str">
        <x:v>separate known facts, precautions, and unknowns</x:v>
      </x:c>
      <x:c r="R159" s="69" t="str">
        <x:v>rumors are spreading faster than test results</x:v>
      </x:c>
      <x:c r="S159" s="69" t="str">
        <x:v>Green</x:v>
      </x:c>
      <x:c r="T159" s="69" t="str">
        <x:v>IES_v10_8_02_SCENE_CARDS.md#L10</x:v>
      </x:c>
      <x:c r="U159" s="69" t="str">
        <x:v>記者会見前の危機対応</x:v>
      </x:c>
      <x:c r="V159" s="69" t="str">
        <x:v>Commissioner Leah Morgan pushes on "rumors are spreading faster than test", and the whole exchange turns on public-risk communication.</x:v>
      </x:c>
      <x:c r="W159" s="69" t="str">
        <x:v>practical</x:v>
      </x:c>
    </x:row>
    <x:row r="160" ht="44" customHeight="1">
      <x:c r="A160" s="69" t="str">
        <x:v>L11</x:v>
      </x:c>
      <x:c r="B160" s="69" t="str">
        <x:v>法律・公共</x:v>
      </x:c>
      <x:c r="C160" s="69" t="str">
        <x:v>The Interview Without a Lawyer</x:v>
      </x:c>
      <x:c r="D160" s="69" t="str">
        <x:v>刑事との取引</x:v>
      </x:c>
      <x:c r="E160" s="69" t="str">
        <x:v>Present day; a police interview room where you are not under arrest. No supernatural rule is added.</x:v>
      </x:c>
      <x:c r="F160" s="69" t="str">
        <x:v>a witness unsure whether to continue speaking</x:v>
      </x:c>
      <x:c r="G160" s="69" t="str">
        <x:v>Detective Chloe Ramirez, the lead investigator</x:v>
      </x:c>
      <x:c r="H160" s="69" t="str">
        <x:v>Breeze</x:v>
      </x:c>
      <x:c r="I160" s="69" t="str">
        <x:v>表情豊かで真剣。緊迫、怪異、冒険に合う</x:v>
      </x:c>
      <x:c r="J160" s="69" t="str">
        <x:v>B2–C1</x:v>
      </x:c>
      <x:c r="K160" s="69" t="str">
        <x:v>しっかり</x:v>
      </x:c>
      <x:c r="L160" s="69" t="str">
        <x:v>理由説明や交渉まで</x:v>
      </x:c>
      <x:c r="M160" s="69" t="str">
        <x:v>rights questions and careful cooperation</x:v>
      </x:c>
      <x:c r="N160" s="69" t="str">
        <x:v>one-to-one; chloe says delay could; rights questions</x:v>
      </x:c>
      <x:c r="O160" s="69" t="str">
        <x:v>procedural, tense, and fair</x:v>
      </x:c>
      <x:c r="P160" s="71" t="n">
        <x:v>12</x:v>
      </x:c>
      <x:c r="Q160" s="69" t="str">
        <x:v>clarify your status, rights, and what information is being requested</x:v>
      </x:c>
      <x:c r="R160" s="69" t="str">
        <x:v>Chloe says delay could put someone at risk</x:v>
      </x:c>
      <x:c r="S160" s="69" t="str">
        <x:v>Green</x:v>
      </x:c>
      <x:c r="T160" s="69" t="str">
        <x:v>IES_v10_8_02_SCENE_CARDS.md#L11</x:v>
      </x:c>
      <x:c r="U160" s="69" t="str">
        <x:v>刑事との取引</x:v>
      </x:c>
      <x:c r="V160" s="69" t="str">
        <x:v>Detective Chloe Ramirez pushes on "chloe says delay could put someone", and the whole exchange turns on rights questions and careful.</x:v>
      </x:c>
      <x:c r="W160" s="69" t="str">
        <x:v>practical</x:v>
      </x:c>
    </x:row>
    <x:row r="161" ht="44" customHeight="1">
      <x:c r="A161" s="69" t="str">
        <x:v>L12</x:v>
      </x:c>
      <x:c r="B161" s="69" t="str">
        <x:v>法律・公共</x:v>
      </x:c>
      <x:c r="C161" s="69" t="str">
        <x:v>The Local Debate</x:v>
      </x:c>
      <x:c r="D161" s="69" t="str">
        <x:v>小さな町の選挙討論</x:v>
      </x:c>
      <x:c r="E161" s="69" t="str">
        <x:v>Present day; a community hall during a close council election. No supernatural rule is added.</x:v>
      </x:c>
      <x:c r="F161" s="69" t="str">
        <x:v>a first-time candidate</x:v>
      </x:c>
      <x:c r="G161" s="69" t="str">
        <x:v>Mayor Julia Bennett, the experienced incumbent</x:v>
      </x:c>
      <x:c r="H161" s="69" t="str">
        <x:v>Breeze</x:v>
      </x:c>
      <x:c r="I161" s="69" t="str">
        <x:v>表情豊かで真剣。緊迫、怪異、冒険に合う</x:v>
      </x:c>
      <x:c r="J161" s="69" t="str">
        <x:v>B1–C1</x:v>
      </x:c>
      <x:c r="K161" s="69" t="str">
        <x:v>ふつう</x:v>
      </x:c>
      <x:c r="L161" s="69" t="str">
        <x:v>2〜3文で自然に受け答え</x:v>
      </x:c>
      <x:c r="M161" s="69" t="str">
        <x:v>public rebuttal and policy explanation</x:v>
      </x:c>
      <x:c r="N161" s="69" t="str">
        <x:v>one-to-one; a misleading rumor has; public rebuttal</x:v>
      </x:c>
      <x:c r="O161" s="69" t="str">
        <x:v>procedural, tense, and fair</x:v>
      </x:c>
      <x:c r="P161" s="71" t="n">
        <x:v>12</x:v>
      </x:c>
      <x:c r="Q161" s="69" t="str">
        <x:v>answer a sharp challenge and state one practical policy</x:v>
      </x:c>
      <x:c r="R161" s="69" t="str">
        <x:v>a misleading rumor has just reached the audience</x:v>
      </x:c>
      <x:c r="S161" s="69" t="str">
        <x:v>Green</x:v>
      </x:c>
      <x:c r="T161" s="69" t="str">
        <x:v>IES_v10_8_02_SCENE_CARDS.md#L12</x:v>
      </x:c>
      <x:c r="U161" s="69" t="str">
        <x:v>小さな町の選挙討論</x:v>
      </x:c>
      <x:c r="V161" s="69" t="str">
        <x:v>Mayor Julia Bennett pushes on "a misleading rumor has just reached", and the whole exchange turns on public rebuttal and policy.</x:v>
      </x:c>
      <x:c r="W161" s="69" t="str">
        <x:v>practical</x:v>
      </x:c>
    </x:row>
    <x:row r="162" ht="44" customHeight="1">
      <x:c r="A162" s="69" t="str">
        <x:v>L13</x:v>
      </x:c>
      <x:c r="B162" s="69" t="str">
        <x:v>法律・公共</x:v>
      </x:c>
      <x:c r="C162" s="69" t="str">
        <x:v>The Denied Claim</x:v>
      </x:c>
      <x:c r="D162" s="69" t="str">
        <x:v>保険会社への異議申立て</x:v>
      </x:c>
      <x:c r="E162" s="69" t="str">
        <x:v>Present day; an insurance appeal call. No supernatural rule is added.</x:v>
      </x:c>
      <x:c r="F162" s="69" t="str">
        <x:v>the patient challenging a denied treatment claim</x:v>
      </x:c>
      <x:c r="G162" s="69" t="str">
        <x:v>Reviewer Eva Coleman, the insurer's clinical representative</x:v>
      </x:c>
      <x:c r="H162" s="69" t="str">
        <x:v>Breeze</x:v>
      </x:c>
      <x:c r="I162" s="69" t="str">
        <x:v>表情豊かで真剣。緊迫、怪異、冒険に合う</x:v>
      </x:c>
      <x:c r="J162" s="69" t="str">
        <x:v>B2–C1</x:v>
      </x:c>
      <x:c r="K162" s="69" t="str">
        <x:v>しっかり</x:v>
      </x:c>
      <x:c r="L162" s="69" t="str">
        <x:v>理由説明や交渉まで</x:v>
      </x:c>
      <x:c r="M162" s="69" t="str">
        <x:v>formal appeal and evidence mapping</x:v>
      </x:c>
      <x:c r="N162" s="69" t="str">
        <x:v>one-to-one; the treatment appointment is; formal appeal</x:v>
      </x:c>
      <x:c r="O162" s="69" t="str">
        <x:v>procedural, tense, and fair</x:v>
      </x:c>
      <x:c r="P162" s="71" t="n">
        <x:v>12</x:v>
      </x:c>
      <x:c r="Q162" s="69" t="str">
        <x:v>connect the evidence to the policy criteria and request reconsideration</x:v>
      </x:c>
      <x:c r="R162" s="69" t="str">
        <x:v>the treatment appointment is tomorrow</x:v>
      </x:c>
      <x:c r="S162" s="69" t="str">
        <x:v>Green</x:v>
      </x:c>
      <x:c r="T162" s="69" t="str">
        <x:v>IES_v10_8_02_SCENE_CARDS.md#L13</x:v>
      </x:c>
      <x:c r="U162" s="69" t="str">
        <x:v>保険会社への異議申立て</x:v>
      </x:c>
      <x:c r="V162" s="69" t="str">
        <x:v>Reviewer Eva Coleman pushes on "the treatment appointment is tomorrow", and the whole exchange turns on formal appeal and evidence.</x:v>
      </x:c>
      <x:c r="W162" s="69" t="str">
        <x:v>practical</x:v>
      </x:c>
    </x:row>
    <x:row r="163" ht="44" customHeight="1">
      <x:c r="A163" s="69" t="str">
        <x:v>L14</x:v>
      </x:c>
      <x:c r="B163" s="69" t="str">
        <x:v>法律・公共</x:v>
      </x:c>
      <x:c r="C163" s="69" t="str">
        <x:v>The Diplomatic Misquote</x:v>
      </x:c>
      <x:c r="D163" s="69" t="str">
        <x:v>国際会議の通訳事故</x:v>
      </x:c>
      <x:c r="E163" s="69" t="str">
        <x:v>Present day; a bilateral meeting after one sentence was translated incorrectly. No supernatural rule is added.</x:v>
      </x:c>
      <x:c r="F163" s="69" t="str">
        <x:v>the delegation member who noticed the error</x:v>
      </x:c>
      <x:c r="G163" s="69" t="str">
        <x:v>Ambassador Lina Ward, the other side's lead negotiator</x:v>
      </x:c>
      <x:c r="H163" s="69" t="str">
        <x:v>Breeze</x:v>
      </x:c>
      <x:c r="I163" s="69" t="str">
        <x:v>表情豊かで真剣。緊迫、怪異、冒険に合う</x:v>
      </x:c>
      <x:c r="J163" s="69" t="str">
        <x:v>B2–C1</x:v>
      </x:c>
      <x:c r="K163" s="69" t="str">
        <x:v>しっかり</x:v>
      </x:c>
      <x:c r="L163" s="69" t="str">
        <x:v>理由説明や交渉まで</x:v>
      </x:c>
      <x:c r="M163" s="69" t="str">
        <x:v>diplomatic clarification</x:v>
      </x:c>
      <x:c r="N163" s="69" t="str">
        <x:v>one-to-one; the mistranslation implies a; diplomatic clarification</x:v>
      </x:c>
      <x:c r="O163" s="69" t="str">
        <x:v>procedural, tense, and fair</x:v>
      </x:c>
      <x:c r="P163" s="71" t="n">
        <x:v>12</x:v>
      </x:c>
      <x:c r="Q163" s="69" t="str">
        <x:v>correct the record without accusing the interpreter</x:v>
      </x:c>
      <x:c r="R163" s="69" t="str">
        <x:v>the mistranslation implies a threat and journalists are waiting outside</x:v>
      </x:c>
      <x:c r="S163" s="69" t="str">
        <x:v>Green</x:v>
      </x:c>
      <x:c r="T163" s="69" t="str">
        <x:v>IES_v10_8_02_SCENE_CARDS.md#L14</x:v>
      </x:c>
      <x:c r="U163" s="69" t="str">
        <x:v>国際会議の通訳事故</x:v>
      </x:c>
      <x:c r="V163" s="69" t="str">
        <x:v>Ambassador Lina Ward pushes on "the mistranslation implies a threat and", and the whole exchange turns on diplomatic clarification.</x:v>
      </x:c>
      <x:c r="W163" s="69" t="str">
        <x:v>practical</x:v>
      </x:c>
    </x:row>
    <x:row r="164" ht="44" customHeight="1">
      <x:c r="A164" s="69" t="str">
        <x:v>L15</x:v>
      </x:c>
      <x:c r="B164" s="69" t="str">
        <x:v>法律・公共</x:v>
      </x:c>
      <x:c r="C164" s="69" t="str">
        <x:v>The Last Confirmed Sighting</x:v>
      </x:c>
      <x:c r="D164" s="69" t="str">
        <x:v>行方不明者の聞き取り</x:v>
      </x:c>
      <x:c r="E164" s="69" t="str">
        <x:v>Present day; a search coordination center. No supernatural rule is added.</x:v>
      </x:c>
      <x:c r="F164" s="69" t="str">
        <x:v>the friend who last saw a missing person</x:v>
      </x:c>
      <x:c r="G164" s="69" t="str">
        <x:v>Detective Isabel Moore, the search lead</x:v>
      </x:c>
      <x:c r="H164" s="69" t="str">
        <x:v>Breeze</x:v>
      </x:c>
      <x:c r="I164" s="69" t="str">
        <x:v>表情豊かで真剣。緊迫、怪異、冒険に合う</x:v>
      </x:c>
      <x:c r="J164" s="69" t="str">
        <x:v>B1–B2</x:v>
      </x:c>
      <x:c r="K164" s="69" t="str">
        <x:v>ふつう</x:v>
      </x:c>
      <x:c r="L164" s="69" t="str">
        <x:v>2〜3文で自然に受け答え</x:v>
      </x:c>
      <x:c r="M164" s="69" t="str">
        <x:v>timeline narration and difficult disclosure</x:v>
      </x:c>
      <x:c r="N164" s="69" t="str">
        <x:v>one-to-one; weather is worsening and; timeline narration</x:v>
      </x:c>
      <x:c r="O164" s="69" t="str">
        <x:v>procedural, tense, and fair</x:v>
      </x:c>
      <x:c r="P164" s="71" t="n">
        <x:v>12</x:v>
      </x:c>
      <x:c r="Q164" s="69" t="str">
        <x:v>reconstruct the final hours and explain one withheld detail</x:v>
      </x:c>
      <x:c r="R164" s="69" t="str">
        <x:v>weather is worsening and search teams need direction</x:v>
      </x:c>
      <x:c r="S164" s="69" t="str">
        <x:v>Green</x:v>
      </x:c>
      <x:c r="T164" s="69" t="str">
        <x:v>IES_v10_8_02_SCENE_CARDS.md#L15</x:v>
      </x:c>
      <x:c r="U164" s="69" t="str">
        <x:v>行方不明者の聞き取り</x:v>
      </x:c>
      <x:c r="V164" s="69" t="str">
        <x:v>Detective Isabel Moore pushes on "weather is worsening and search teams", and the whole exchange turns on timeline narration and difficult.</x:v>
      </x:c>
      <x:c r="W164" s="69" t="str">
        <x:v>practical</x:v>
      </x:c>
    </x:row>
    <x:row r="165" ht="44" customHeight="1">
      <x:c r="A165" s="69" t="str">
        <x:v>L16</x:v>
      </x:c>
      <x:c r="B165" s="69" t="str">
        <x:v>法律・公共</x:v>
      </x:c>
      <x:c r="C165" s="69" t="str">
        <x:v>The Camera Vote</x:v>
      </x:c>
      <x:c r="D165" s="69" t="str">
        <x:v>自治会の防犯カメラ</x:v>
      </x:c>
      <x:c r="E165" s="69" t="str">
        <x:v>Present day; an apartment residents' meeting. No supernatural rule is added.</x:v>
      </x:c>
      <x:c r="F165" s="69" t="str">
        <x:v>the resident asked to break a tied vote</x:v>
      </x:c>
      <x:c r="G165" s="69" t="str">
        <x:v>Chairwoman Mia Evans, leading the meeting</x:v>
      </x:c>
      <x:c r="H165" s="69" t="str">
        <x:v>Breeze</x:v>
      </x:c>
      <x:c r="I165" s="69" t="str">
        <x:v>表情豊かで真剣。緊迫、怪異、冒険に合う</x:v>
      </x:c>
      <x:c r="J165" s="69" t="str">
        <x:v>B1–B2</x:v>
      </x:c>
      <x:c r="K165" s="69" t="str">
        <x:v>ふつう</x:v>
      </x:c>
      <x:c r="L165" s="69" t="str">
        <x:v>2〜3文で自然に受け答え</x:v>
      </x:c>
      <x:c r="M165" s="69" t="str">
        <x:v>community deliberation and compromise</x:v>
      </x:c>
      <x:c r="N165" s="69" t="str">
        <x:v>one-to-one; a recent theft has; community deliberation</x:v>
      </x:c>
      <x:c r="O165" s="69" t="str">
        <x:v>procedural, tense, and fair</x:v>
      </x:c>
      <x:c r="P165" s="71" t="n">
        <x:v>12</x:v>
      </x:c>
      <x:c r="Q165" s="69" t="str">
        <x:v>balance safety, privacy, cost, and access rules</x:v>
      </x:c>
      <x:c r="R165" s="69" t="str">
        <x:v>a recent theft has made the room emotional</x:v>
      </x:c>
      <x:c r="S165" s="69" t="str">
        <x:v>Green</x:v>
      </x:c>
      <x:c r="T165" s="69" t="str">
        <x:v>IES_v10_8_02_SCENE_CARDS.md#L16</x:v>
      </x:c>
      <x:c r="U165" s="69" t="str">
        <x:v>自治会の防犯カメラ</x:v>
      </x:c>
      <x:c r="V165" s="69" t="str">
        <x:v>Chairwoman Mia Evans pushes on "a recent theft has made the", and the whole exchange turns on community deliberation and compromise.</x:v>
      </x:c>
      <x:c r="W165" s="69" t="str">
        <x:v>practical</x:v>
      </x:c>
    </x:row>
    <x:row r="166" ht="44" customHeight="1">
      <x:c r="A166" s="69" t="str">
        <x:v>L17</x:v>
      </x:c>
      <x:c r="B166" s="69" t="str">
        <x:v>法律・公共</x:v>
      </x:c>
      <x:c r="C166" s="69" t="str">
        <x:v>The Missing Public Record</x:v>
      </x:c>
      <x:c r="D166" s="69" t="str">
        <x:v>記録公開請求</x:v>
      </x:c>
      <x:c r="E166" s="69" t="str">
        <x:v>Present day; a government records office. No supernatural rule is added.</x:v>
      </x:c>
      <x:c r="F166" s="69" t="str">
        <x:v>a journalist seeking a delayed public document</x:v>
      </x:c>
      <x:c r="G166" s="69" t="str">
        <x:v>Officer Claire Adams, the records custodian</x:v>
      </x:c>
      <x:c r="H166" s="69" t="str">
        <x:v>Breeze</x:v>
      </x:c>
      <x:c r="I166" s="69" t="str">
        <x:v>表情豊かで真剣。緊迫、怪異、冒険に合う</x:v>
      </x:c>
      <x:c r="J166" s="69" t="str">
        <x:v>B2–C1</x:v>
      </x:c>
      <x:c r="K166" s="69" t="str">
        <x:v>しっかり</x:v>
      </x:c>
      <x:c r="L166" s="69" t="str">
        <x:v>理由説明や交渉まで</x:v>
      </x:c>
      <x:c r="M166" s="69" t="str">
        <x:v>formal inquiry and scope negotiation</x:v>
      </x:c>
      <x:c r="N166" s="69" t="str">
        <x:v>one-to-one; a major vote happens; formal inquiry</x:v>
      </x:c>
      <x:c r="O166" s="69" t="str">
        <x:v>procedural, tense, and fair</x:v>
      </x:c>
      <x:c r="P166" s="71" t="n">
        <x:v>12</x:v>
      </x:c>
      <x:c r="Q166" s="69" t="str">
        <x:v>narrow the request and challenge an unclear exemption</x:v>
      </x:c>
      <x:c r="R166" s="69" t="str">
        <x:v>a major vote happens tomorrow</x:v>
      </x:c>
      <x:c r="S166" s="69" t="str">
        <x:v>Green</x:v>
      </x:c>
      <x:c r="T166" s="69" t="str">
        <x:v>IES_v10_8_02_SCENE_CARDS.md#L17</x:v>
      </x:c>
      <x:c r="U166" s="69" t="str">
        <x:v>記録公開請求</x:v>
      </x:c>
      <x:c r="V166" s="69" t="str">
        <x:v>Officer Claire Adams pushes on "a major vote happens tomorrow", and the whole exchange turns on formal inquiry and scope.</x:v>
      </x:c>
      <x:c r="W166" s="69" t="str">
        <x:v>practical</x:v>
      </x:c>
    </x:row>
    <x:row r="167" ht="44" customHeight="1">
      <x:c r="A167" s="69" t="str">
        <x:v>L18</x:v>
      </x:c>
      <x:c r="B167" s="69" t="str">
        <x:v>法律・公共</x:v>
      </x:c>
      <x:c r="C167" s="69" t="str">
        <x:v>The Item in Your Bag</x:v>
      </x:c>
      <x:c r="D167" s="69" t="str">
        <x:v>空港税関の申告</x:v>
      </x:c>
      <x:c r="E167" s="69" t="str">
        <x:v>Present day; a customs inspection area. No supernatural rule is added.</x:v>
      </x:c>
      <x:c r="F167" s="69" t="str">
        <x:v>a traveler carrying an unusual inherited object</x:v>
      </x:c>
      <x:c r="G167" s="69" t="str">
        <x:v>Officer Natalie Cruz, the customs examiner</x:v>
      </x:c>
      <x:c r="H167" s="69" t="str">
        <x:v>Breeze</x:v>
      </x:c>
      <x:c r="I167" s="69" t="str">
        <x:v>表情豊かで真剣。緊迫、怪異、冒険に合う</x:v>
      </x:c>
      <x:c r="J167" s="69" t="str">
        <x:v>A2–B2</x:v>
      </x:c>
      <x:c r="K167" s="69" t="str">
        <x:v>やさしい</x:v>
      </x:c>
      <x:c r="L167" s="69" t="str">
        <x:v>短い返事でOK。選択肢や言い換えあり</x:v>
      </x:c>
      <x:c r="M167" s="69" t="str">
        <x:v>precise description and compliance questions</x:v>
      </x:c>
      <x:c r="N167" s="69" t="str">
        <x:v>one-to-one; the object may be; precise description</x:v>
      </x:c>
      <x:c r="O167" s="69" t="str">
        <x:v>procedural, tense, and fair</x:v>
      </x:c>
      <x:c r="P167" s="71" t="n">
        <x:v>10</x:v>
      </x:c>
      <x:c r="Q167" s="69" t="str">
        <x:v>describe the item's origin and ask what declaration is required</x:v>
      </x:c>
      <x:c r="R167" s="69" t="str">
        <x:v>the object may be culturally protected rather than merely valuable</x:v>
      </x:c>
      <x:c r="S167" s="69" t="str">
        <x:v>Green</x:v>
      </x:c>
      <x:c r="T167" s="69" t="str">
        <x:v>IES_v10_8_02_SCENE_CARDS.md#L18</x:v>
      </x:c>
      <x:c r="U167" s="69" t="str">
        <x:v>空港税関の申告</x:v>
      </x:c>
      <x:c r="V167" s="69" t="str">
        <x:v>Officer Natalie Cruz pushes on "the object may be culturally protected", and the whole exchange turns on precise description and compliance.</x:v>
      </x:c>
      <x:c r="W167" s="69" t="str">
        <x:v>practical</x:v>
      </x:c>
    </x:row>
    <x:row r="168" ht="44" customHeight="1">
      <x:c r="A168" s="69" t="str">
        <x:v>L19</x:v>
      </x:c>
      <x:c r="B168" s="69" t="str">
        <x:v>法律・公共</x:v>
      </x:c>
      <x:c r="C168" s="69" t="str">
        <x:v>The Mediation Table</x:v>
      </x:c>
      <x:c r="D168" s="69" t="str">
        <x:v>調停室の隣人問題</x:v>
      </x:c>
      <x:c r="E168" s="69" t="str">
        <x:v>Present day; a community mediation center. No supernatural rule is added.</x:v>
      </x:c>
      <x:c r="F168" s="69" t="str">
        <x:v>one neighbor in a long-running noise dispute</x:v>
      </x:c>
      <x:c r="G168" s="69" t="str">
        <x:v>Mediator Laura James, the neutral facilitator</x:v>
      </x:c>
      <x:c r="H168" s="69" t="str">
        <x:v>Breeze</x:v>
      </x:c>
      <x:c r="I168" s="69" t="str">
        <x:v>表情豊かで真剣。緊迫、怪異、冒険に合う</x:v>
      </x:c>
      <x:c r="J168" s="69" t="str">
        <x:v>B1–B2</x:v>
      </x:c>
      <x:c r="K168" s="69" t="str">
        <x:v>ふつう</x:v>
      </x:c>
      <x:c r="L168" s="69" t="str">
        <x:v>2〜3文で自然に受け答え</x:v>
      </x:c>
      <x:c r="M168" s="69" t="str">
        <x:v>mediation and measurable agreements</x:v>
      </x:c>
      <x:c r="N168" s="69" t="str">
        <x:v>one-to-one; both sides have already; mediation</x:v>
      </x:c>
      <x:c r="O168" s="69" t="str">
        <x:v>procedural, tense, and fair</x:v>
      </x:c>
      <x:c r="P168" s="71" t="n">
        <x:v>12</x:v>
      </x:c>
      <x:c r="Q168" s="69" t="str">
        <x:v>state impact, acknowledge one mistake, and negotiate testable rules</x:v>
      </x:c>
      <x:c r="R168" s="69" t="str">
        <x:v>both sides have already threatened court action</x:v>
      </x:c>
      <x:c r="S168" s="69" t="str">
        <x:v>Green</x:v>
      </x:c>
      <x:c r="T168" s="69" t="str">
        <x:v>IES_v10_8_02_SCENE_CARDS.md#L19</x:v>
      </x:c>
      <x:c r="U168" s="69" t="str">
        <x:v>調停室の隣人問題</x:v>
      </x:c>
      <x:c r="V168" s="69" t="str">
        <x:v>Mediator Laura James pushes on "both sides have already threatened court", and the whole exchange turns on mediation and measurable agreements.</x:v>
      </x:c>
      <x:c r="W168" s="69" t="str">
        <x:v>practical</x:v>
      </x:c>
    </x:row>
    <x:row r="169" ht="44" customHeight="1">
      <x:c r="A169" s="69" t="str">
        <x:v>L20</x:v>
      </x:c>
      <x:c r="B169" s="69" t="str">
        <x:v>法律・公共</x:v>
      </x:c>
      <x:c r="C169" s="69" t="str">
        <x:v>The Compliance Interview</x:v>
      </x:c>
      <x:c r="D169" s="69" t="str">
        <x:v>内部調査の面談</x:v>
      </x:c>
      <x:c r="E169" s="69" t="str">
        <x:v>Present day; a corporate investigation room. No supernatural rule is added.</x:v>
      </x:c>
      <x:c r="F169" s="69" t="str">
        <x:v>an employee who witnessed possible retaliation</x:v>
      </x:c>
      <x:c r="G169" s="69" t="str">
        <x:v>Investigator Rachel Owen, the independent interviewer</x:v>
      </x:c>
      <x:c r="H169" s="69" t="str">
        <x:v>Breeze</x:v>
      </x:c>
      <x:c r="I169" s="69" t="str">
        <x:v>表情豊かで真剣。緊迫、怪異、冒険に合う</x:v>
      </x:c>
      <x:c r="J169" s="69" t="str">
        <x:v>B2–C1</x:v>
      </x:c>
      <x:c r="K169" s="69" t="str">
        <x:v>しっかり</x:v>
      </x:c>
      <x:c r="L169" s="69" t="str">
        <x:v>理由説明や交渉まで</x:v>
      </x:c>
      <x:c r="M169" s="69" t="str">
        <x:v>workplace testimony and boundaries</x:v>
      </x:c>
      <x:c r="N169" s="69" t="str">
        <x:v>one-to-one; your supervisor has asked; workplace testimony</x:v>
      </x:c>
      <x:c r="O169" s="69" t="str">
        <x:v>procedural, tense, and fair</x:v>
      </x:c>
      <x:c r="P169" s="71" t="n">
        <x:v>12</x:v>
      </x:c>
      <x:c r="Q169" s="69" t="str">
        <x:v>report events accurately and set confidentiality expectations</x:v>
      </x:c>
      <x:c r="R169" s="69" t="str">
        <x:v>your supervisor has asked what you plan to say</x:v>
      </x:c>
      <x:c r="S169" s="69" t="str">
        <x:v>Green</x:v>
      </x:c>
      <x:c r="T169" s="69" t="str">
        <x:v>IES_v10_8_02_SCENE_CARDS.md#L20</x:v>
      </x:c>
      <x:c r="U169" s="69" t="str">
        <x:v>内部調査の面談</x:v>
      </x:c>
      <x:c r="V169" s="69" t="str">
        <x:v>Investigator Rachel Owen pushes on "your supervisor has asked what you", and the whole exchange turns on workplace testimony and boundaries.</x:v>
      </x:c>
      <x:c r="W169" s="69" t="str">
        <x:v>practical</x:v>
      </x:c>
    </x:row>
    <x:row r="170" ht="44" customHeight="1">
      <x:c r="A170" s="69" t="str">
        <x:v>L21</x:v>
      </x:c>
      <x:c r="B170" s="69" t="str">
        <x:v>法律・公共</x:v>
      </x:c>
      <x:c r="C170" s="69" t="str">
        <x:v>The Evacuation Zone</x:v>
      </x:c>
      <x:c r="D170" s="69" t="str">
        <x:v>災害避難命令への反論</x:v>
      </x:c>
      <x:c r="E170" s="69" t="str">
        <x:v>Present day; a town emergency center during a wildfire. No supernatural rule is added.</x:v>
      </x:c>
      <x:c r="F170" s="69" t="str">
        <x:v>a resident asking to reenter the restricted area</x:v>
      </x:c>
      <x:c r="G170" s="69" t="str">
        <x:v>Chief Elena Garcia, the evacuation coordinator</x:v>
      </x:c>
      <x:c r="H170" s="69" t="str">
        <x:v>Breeze</x:v>
      </x:c>
      <x:c r="I170" s="69" t="str">
        <x:v>表情豊かで真剣。緊迫、怪異、冒険に合う</x:v>
      </x:c>
      <x:c r="J170" s="69" t="str">
        <x:v>B1–B2</x:v>
      </x:c>
      <x:c r="K170" s="69" t="str">
        <x:v>ふつう</x:v>
      </x:c>
      <x:c r="L170" s="69" t="str">
        <x:v>2〜3文で自然に受け答え</x:v>
      </x:c>
      <x:c r="M170" s="69" t="str">
        <x:v>urgent requests and safety negotiation</x:v>
      </x:c>
      <x:c r="N170" s="69" t="str">
        <x:v>one-to-one; wind conditions may close; urgent requests</x:v>
      </x:c>
      <x:c r="O170" s="69" t="str">
        <x:v>procedural, tense, and fair</x:v>
      </x:c>
      <x:c r="P170" s="71" t="n">
        <x:v>10</x:v>
      </x:c>
      <x:c r="Q170" s="69" t="str">
        <x:v>explain the urgent need and understand what exception is possible</x:v>
      </x:c>
      <x:c r="R170" s="69" t="str">
        <x:v>wind conditions may close the road permanently</x:v>
      </x:c>
      <x:c r="S170" s="69" t="str">
        <x:v>Green</x:v>
      </x:c>
      <x:c r="T170" s="69" t="str">
        <x:v>IES_v10_8_02_SCENE_CARDS.md#L21</x:v>
      </x:c>
      <x:c r="U170" s="69" t="str">
        <x:v>災害避難命令への反論</x:v>
      </x:c>
      <x:c r="V170" s="69" t="str">
        <x:v>Chief Elena Garcia pushes on "wind conditions may close the road", and the whole exchange turns on urgent requests and safety.</x:v>
      </x:c>
      <x:c r="W170" s="69" t="str">
        <x:v>practical</x:v>
      </x:c>
    </x:row>
    <x:row r="171" ht="44" customHeight="1">
      <x:c r="A171" s="69" t="str">
        <x:v>L22</x:v>
      </x:c>
      <x:c r="B171" s="69" t="str">
        <x:v>法律・公共</x:v>
      </x:c>
      <x:c r="C171" s="69" t="str">
        <x:v>The Return of the Artifact</x:v>
      </x:c>
      <x:c r="D171" s="69" t="str">
        <x:v>博物館への返還請求</x:v>
      </x:c>
      <x:c r="E171" s="69" t="str">
        <x:v>Present day; a museum conference room. No supernatural rule is added.</x:v>
      </x:c>
      <x:c r="F171" s="69" t="str">
        <x:v>the representative of a community requesting an object's return</x:v>
      </x:c>
      <x:c r="G171" s="69" t="str">
        <x:v>Curator Maya Thompson, responsible for the collection</x:v>
      </x:c>
      <x:c r="H171" s="69" t="str">
        <x:v>Breeze</x:v>
      </x:c>
      <x:c r="I171" s="69" t="str">
        <x:v>表情豊かで真剣。緊迫、怪異、冒険に合う</x:v>
      </x:c>
      <x:c r="J171" s="69" t="str">
        <x:v>B2–C1</x:v>
      </x:c>
      <x:c r="K171" s="69" t="str">
        <x:v>しっかり</x:v>
      </x:c>
      <x:c r="L171" s="69" t="str">
        <x:v>理由説明や交渉まで</x:v>
      </x:c>
      <x:c r="M171" s="69" t="str">
        <x:v>historical claims and process negotiation</x:v>
      </x:c>
      <x:c r="N171" s="69" t="str">
        <x:v>one-to-one; an exhibition featuring the; historical claims</x:v>
      </x:c>
      <x:c r="O171" s="69" t="str">
        <x:v>procedural, tense, and fair</x:v>
      </x:c>
      <x:c r="P171" s="71" t="n">
        <x:v>15</x:v>
      </x:c>
      <x:c r="Q171" s="69" t="str">
        <x:v>present the claim, discuss evidence, and define a fair next process</x:v>
      </x:c>
      <x:c r="R171" s="69" t="str">
        <x:v>an exhibition featuring the object opens next week</x:v>
      </x:c>
      <x:c r="S171" s="69" t="str">
        <x:v>Green</x:v>
      </x:c>
      <x:c r="T171" s="69" t="str">
        <x:v>IES_v10_8_02_SCENE_CARDS.md#L22</x:v>
      </x:c>
      <x:c r="U171" s="69" t="str">
        <x:v>博物館への返還請求</x:v>
      </x:c>
      <x:c r="V171" s="69" t="str">
        <x:v>Curator Maya Thompson pushes on "an exhibition featuring the object opens", and the whole exchange turns on historical claims and process.</x:v>
      </x:c>
      <x:c r="W171" s="69" t="str">
        <x:v>practical</x:v>
      </x:c>
    </x:row>
    <x:row r="172" ht="44" customHeight="1">
      <x:c r="A172" s="69" t="str">
        <x:v>L23</x:v>
      </x:c>
      <x:c r="B172" s="69" t="str">
        <x:v>法律・公共</x:v>
      </x:c>
      <x:c r="C172" s="69" t="str">
        <x:v>Small Claims, Big Feelings</x:v>
      </x:c>
      <x:c r="D172" s="69" t="str">
        <x:v>近隣紛争の簡易裁判</x:v>
      </x:c>
      <x:c r="E172" s="69" t="str">
        <x:v>Present day; a small-claims courtroom over a modest but bitter dispute. No supernatural rule is added.</x:v>
      </x:c>
      <x:c r="F172" s="69" t="str">
        <x:v>the plaintiff representing yourself without a lawyer</x:v>
      </x:c>
      <x:c r="G172" s="69" t="str">
        <x:v>Judge Odette Farrow, expecting concise, evidence-based statements</x:v>
      </x:c>
      <x:c r="H172" s="69" t="str">
        <x:v>Breeze</x:v>
      </x:c>
      <x:c r="I172" s="69" t="str">
        <x:v>表情豊かで真剣。緊迫、怪異、冒険に合う</x:v>
      </x:c>
      <x:c r="J172" s="69" t="str">
        <x:v>B1–B2</x:v>
      </x:c>
      <x:c r="K172" s="69" t="str">
        <x:v>ふつう</x:v>
      </x:c>
      <x:c r="L172" s="69" t="str">
        <x:v>2〜3文で自然に受け答え</x:v>
      </x:c>
      <x:c r="M172" s="69" t="str">
        <x:v>concise argumentation and evidence citation</x:v>
      </x:c>
      <x:c r="N172" s="69" t="str">
        <x:v>one-to-one; the judge has already; concise argumentation</x:v>
      </x:c>
      <x:c r="O172" s="69" t="str">
        <x:v>procedural, tense, and fair</x:v>
      </x:c>
      <x:c r="P172" s="71" t="n">
        <x:v>10</x:v>
      </x:c>
      <x:c r="Q172" s="69" t="str">
        <x:v>present your case clearly within a strict time limit</x:v>
      </x:c>
      <x:c r="R172" s="69" t="str">
        <x:v>the judge has already interrupted you once for rambling</x:v>
      </x:c>
      <x:c r="S172" s="69" t="str">
        <x:v>Green</x:v>
      </x:c>
      <x:c r="T172" s="69" t="str">
        <x:v>IES_v10_8_02_SCENE_CARDS.md#L23</x:v>
      </x:c>
      <x:c r="U172" s="69" t="str">
        <x:v>近隣紛争の簡易裁判</x:v>
      </x:c>
      <x:c r="V172" s="69" t="str">
        <x:v>Judge Odette Farrow pushes on "the judge has already interrupted you", and the whole exchange turns on concise argumentation and evidence.</x:v>
      </x:c>
      <x:c r="W172" s="69" t="str">
        <x:v>practical</x:v>
      </x:c>
    </x:row>
    <x:row r="173" ht="44" customHeight="1">
      <x:c r="A173" s="69" t="str">
        <x:v>L24</x:v>
      </x:c>
      <x:c r="B173" s="69" t="str">
        <x:v>法律・公共</x:v>
      </x:c>
      <x:c r="C173" s="69" t="str">
        <x:v>The Utility Billing Dispute</x:v>
      </x:c>
      <x:c r="D173" s="69" t="str">
        <x:v>公共料金の誤請求異議</x:v>
      </x:c>
      <x:c r="E173" s="69" t="str">
        <x:v>Present day; a municipal utilities office after months of implausible charges. No supernatural rule is added.</x:v>
      </x:c>
      <x:c r="F173" s="69" t="str">
        <x:v>the resident who finally brought documentation</x:v>
      </x:c>
      <x:c r="G173" s="69" t="str">
        <x:v>Clerk Ines Ramsey, sympathetic but bound by procedure</x:v>
      </x:c>
      <x:c r="H173" s="69" t="str">
        <x:v>Breeze</x:v>
      </x:c>
      <x:c r="I173" s="69" t="str">
        <x:v>表情豊かで真剣。緊迫、怪異、冒険に合う</x:v>
      </x:c>
      <x:c r="J173" s="69" t="str">
        <x:v>A2–B1</x:v>
      </x:c>
      <x:c r="K173" s="69" t="str">
        <x:v>やさしい</x:v>
      </x:c>
      <x:c r="L173" s="69" t="str">
        <x:v>短い返事でOK。選択肢や言い換えあり</x:v>
      </x:c>
      <x:c r="M173" s="69" t="str">
        <x:v>documentation and procedural requests</x:v>
      </x:c>
      <x:c r="N173" s="69" t="str">
        <x:v>one-to-one; the office closes for; documentation</x:v>
      </x:c>
      <x:c r="O173" s="69" t="str">
        <x:v>procedural, tense, and fair</x:v>
      </x:c>
      <x:c r="P173" s="71" t="n">
        <x:v>8</x:v>
      </x:c>
      <x:c r="Q173" s="69" t="str">
        <x:v>present a paper trail and request a formal review</x:v>
      </x:c>
      <x:c r="R173" s="69" t="str">
        <x:v>the office closes for a holiday in twenty minutes</x:v>
      </x:c>
      <x:c r="S173" s="69" t="str">
        <x:v>Green</x:v>
      </x:c>
      <x:c r="T173" s="69" t="str">
        <x:v>IES_v10_8_02_SCENE_CARDS.md#L24</x:v>
      </x:c>
      <x:c r="U173" s="69" t="str">
        <x:v>公共料金の誤請求異議</x:v>
      </x:c>
      <x:c r="V173" s="69" t="str">
        <x:v>Clerk Ines Ramsey pushes on "the office closes for a holiday", and the whole exchange turns on documentation and procedural requests.</x:v>
      </x:c>
      <x:c r="W173" s="69" t="str">
        <x:v>practical</x:v>
      </x:c>
    </x:row>
    <x:row r="174" ht="44" customHeight="1">
      <x:c r="A174" s="69" t="str">
        <x:v>L25</x:v>
      </x:c>
      <x:c r="B174" s="69" t="str">
        <x:v>法律・公共</x:v>
      </x:c>
      <x:c r="C174" s="69" t="str">
        <x:v>The Whistleblower Consultation</x:v>
      </x:c>
      <x:c r="D174" s="69" t="str">
        <x:v>内部告発者保護の相談</x:v>
      </x:c>
      <x:c r="E174" s="69" t="str">
        <x:v>Present day; a legal-aid hotline call before filing a formal complaint. No supernatural rule is added.</x:v>
      </x:c>
      <x:c r="F174" s="69" t="str">
        <x:v>the caller weighing real professional risk</x:v>
      </x:c>
      <x:c r="G174" s="69" t="str">
        <x:v>Advocate Selin Demir, explaining protections without guaranteeing outcomes</x:v>
      </x:c>
      <x:c r="H174" s="69" t="str">
        <x:v>Breeze</x:v>
      </x:c>
      <x:c r="I174" s="69" t="str">
        <x:v>表情豊かで真剣。緊迫、怪異、冒険に合う</x:v>
      </x:c>
      <x:c r="J174" s="69" t="str">
        <x:v>B2–C1</x:v>
      </x:c>
      <x:c r="K174" s="69" t="str">
        <x:v>しっかり</x:v>
      </x:c>
      <x:c r="L174" s="69" t="str">
        <x:v>理由説明や交渉まで</x:v>
      </x:c>
      <x:c r="M174" s="69" t="str">
        <x:v>risk assessment and protective questions</x:v>
      </x:c>
      <x:c r="N174" s="69" t="str">
        <x:v>one-to-one; your employer's internal deadline; risk assessment</x:v>
      </x:c>
      <x:c r="O174" s="69" t="str">
        <x:v>procedural, tense, and fair</x:v>
      </x:c>
      <x:c r="P174" s="71" t="n">
        <x:v>12</x:v>
      </x:c>
      <x:c r="Q174" s="69" t="str">
        <x:v>understand your actual legal protection before deciding</x:v>
      </x:c>
      <x:c r="R174" s="69" t="str">
        <x:v>your employer's internal deadline to respond is tomorrow</x:v>
      </x:c>
      <x:c r="S174" s="69" t="str">
        <x:v>Green</x:v>
      </x:c>
      <x:c r="T174" s="69" t="str">
        <x:v>IES_v10_8_02_SCENE_CARDS.md#L25</x:v>
      </x:c>
      <x:c r="U174" s="69" t="str">
        <x:v>内部告発者保護の相談</x:v>
      </x:c>
      <x:c r="V174" s="69" t="str">
        <x:v>Advocate Selin Demir pushes on "your employer's internal deadline to respond", and the whole exchange turns on risk assessment and protective.</x:v>
      </x:c>
      <x:c r="W174" s="69" t="str">
        <x:v>practical</x:v>
      </x:c>
    </x:row>
    <x:row r="175" ht="44" customHeight="1">
      <x:c r="A175" s="69" t="str">
        <x:v>L26</x:v>
      </x:c>
      <x:c r="B175" s="69" t="str">
        <x:v>法律・公共</x:v>
      </x:c>
      <x:c r="C175" s="69" t="str">
        <x:v>The Busking Permit Dispute</x:v>
      </x:c>
      <x:c r="D175" s="69" t="str">
        <x:v>路上パフォーマンスの許可証</x:v>
      </x:c>
      <x:c r="E175" s="69" t="str">
        <x:v>Present day; a city arts office after a permit was unexpectedly revoked. No supernatural rule is added.</x:v>
      </x:c>
      <x:c r="F175" s="69" t="str">
        <x:v>the performer appealing the decision in person</x:v>
      </x:c>
      <x:c r="G175" s="69" t="str">
        <x:v>Officer Talia Brandt, citing a noise complaint you dispute</x:v>
      </x:c>
      <x:c r="H175" s="69" t="str">
        <x:v>Breeze</x:v>
      </x:c>
      <x:c r="I175" s="69" t="str">
        <x:v>表情豊かで真剣。緊迫、怪異、冒険に合う</x:v>
      </x:c>
      <x:c r="J175" s="69" t="str">
        <x:v>A2–B2</x:v>
      </x:c>
      <x:c r="K175" s="69" t="str">
        <x:v>やさしい</x:v>
      </x:c>
      <x:c r="L175" s="69" t="str">
        <x:v>短い返事でOK。選択肢や言い換えあり</x:v>
      </x:c>
      <x:c r="M175" s="69" t="str">
        <x:v>appeal and compromise proposal</x:v>
      </x:c>
      <x:c r="N175" s="69" t="str">
        <x:v>one-to-one; next week's scheduled performance; appeal</x:v>
      </x:c>
      <x:c r="O175" s="69" t="str">
        <x:v>procedural, tense, and fair</x:v>
      </x:c>
      <x:c r="P175" s="71" t="n">
        <x:v>10</x:v>
      </x:c>
      <x:c r="Q175" s="69" t="str">
        <x:v>challenge the basis for revocation and propose a compromise</x:v>
      </x:c>
      <x:c r="R175" s="69" t="str">
        <x:v>next week's scheduled performance depends on today's outcome</x:v>
      </x:c>
      <x:c r="S175" s="69" t="str">
        <x:v>Green</x:v>
      </x:c>
      <x:c r="T175" s="69" t="str">
        <x:v>IES_v10_8_02_SCENE_CARDS.md#L26</x:v>
      </x:c>
      <x:c r="U175" s="69" t="str">
        <x:v>路上パフォーマンスの許可証</x:v>
      </x:c>
      <x:c r="V175" s="69" t="str">
        <x:v>Officer Talia Brandt pushes on "next week's scheduled performance depends on", and the whole exchange turns on appeal and compromise proposal.</x:v>
      </x:c>
      <x:c r="W175" s="69" t="str">
        <x:v>practical</x:v>
      </x:c>
    </x:row>
    <x:row r="176" ht="44" customHeight="1">
      <x:c r="A176" s="69" t="str">
        <x:v>L27</x:v>
      </x:c>
      <x:c r="B176" s="69" t="str">
        <x:v>法律・公共</x:v>
      </x:c>
      <x:c r="C176" s="69" t="str">
        <x:v>The Motion to Excuse</x:v>
      </x:c>
      <x:c r="D176" s="69" t="str">
        <x:v>陪審からの除外申立て</x:v>
      </x:c>
      <x:c r="E176" s="69" t="str">
        <x:v>Present day; a courthouse hallway before jury duty begins. No supernatural rule is added.</x:v>
      </x:c>
      <x:c r="F176" s="69" t="str">
        <x:v>a juror requesting release for a genuine hardship</x:v>
      </x:c>
      <x:c r="G176" s="69" t="str">
        <x:v>Bailiff Corinne Achebe, who has heard every excuse before</x:v>
      </x:c>
      <x:c r="H176" s="69" t="str">
        <x:v>Breeze</x:v>
      </x:c>
      <x:c r="I176" s="69" t="str">
        <x:v>表情豊かで真剣。緊迫、怪異、冒険に合う</x:v>
      </x:c>
      <x:c r="J176" s="69" t="str">
        <x:v>A2–B1</x:v>
      </x:c>
      <x:c r="K176" s="69" t="str">
        <x:v>やさしい</x:v>
      </x:c>
      <x:c r="L176" s="69" t="str">
        <x:v>短い返事でOK。選択肢や言い換えあり</x:v>
      </x:c>
      <x:c r="M176" s="69" t="str">
        <x:v>honest specific requests and persistence</x:v>
      </x:c>
      <x:c r="N176" s="69" t="str">
        <x:v>one-to-one; vague requests are being; honest specific requests</x:v>
      </x:c>
      <x:c r="O176" s="69" t="str">
        <x:v>procedural, tense, and fair</x:v>
      </x:c>
      <x:c r="P176" s="71" t="n">
        <x:v>8</x:v>
      </x:c>
      <x:c r="Q176" s="69" t="str">
        <x:v>state your hardship honestly and specifically</x:v>
      </x:c>
      <x:c r="R176" s="69" t="str">
        <x:v>vague requests are being denied all morning</x:v>
      </x:c>
      <x:c r="S176" s="69" t="str">
        <x:v>Green</x:v>
      </x:c>
      <x:c r="T176" s="69" t="str">
        <x:v>IES_v10_8_02_SCENE_CARDS.md#L27</x:v>
      </x:c>
      <x:c r="U176" s="69" t="str">
        <x:v>陪審からの除外申立て</x:v>
      </x:c>
      <x:c r="V176" s="69" t="str">
        <x:v>Bailiff Corinne Achebe pushes on "vague requests are being denied all", and the whole exchange turns on honest specific requests and.</x:v>
      </x:c>
      <x:c r="W176" s="69" t="str">
        <x:v>practical</x:v>
      </x:c>
    </x:row>
    <x:row r="177" ht="44" customHeight="1">
      <x:c r="A177" s="69" t="str">
        <x:v>L28</x:v>
      </x:c>
      <x:c r="B177" s="69" t="str">
        <x:v>法律・公共</x:v>
      </x:c>
      <x:c r="C177" s="69" t="str">
        <x:v>The Adoption Interview</x:v>
      </x:c>
      <x:c r="D177" s="69" t="str">
        <x:v>動物保護施設の里親面談</x:v>
      </x:c>
      <x:c r="E177" s="69" t="str">
        <x:v>Present day; an animal shelter interview room before a difficult placement decision. No supernatural rule is added.</x:v>
      </x:c>
      <x:c r="F177" s="69" t="str">
        <x:v>the applicant explaining why you are ready for a high-needs animal</x:v>
      </x:c>
      <x:c r="G177" s="69" t="str">
        <x:v>Coordinator Petra Solis, protective of a dog with a bite history</x:v>
      </x:c>
      <x:c r="H177" s="69" t="str">
        <x:v>Breeze</x:v>
      </x:c>
      <x:c r="I177" s="69" t="str">
        <x:v>表情豊かで真剣。緊迫、怪異、冒険に合う</x:v>
      </x:c>
      <x:c r="J177" s="69" t="str">
        <x:v>A2–B1</x:v>
      </x:c>
      <x:c r="K177" s="69" t="str">
        <x:v>やさしい</x:v>
      </x:c>
      <x:c r="L177" s="69" t="str">
        <x:v>短い返事でOK。選択肢や言い換えあり</x:v>
      </x:c>
      <x:c r="M177" s="69" t="str">
        <x:v>honest self-assessment and safety planning</x:v>
      </x:c>
      <x:c r="N177" s="69" t="str">
        <x:v>one-to-one; two other applicants are; honest self-assessment</x:v>
      </x:c>
      <x:c r="O177" s="69" t="str">
        <x:v>procedural, tense, and fair</x:v>
      </x:c>
      <x:c r="P177" s="71" t="n">
        <x:v>10</x:v>
      </x:c>
      <x:c r="Q177" s="69" t="str">
        <x:v>answer probing questions honestly and propose a safety plan</x:v>
      </x:c>
      <x:c r="R177" s="69" t="str">
        <x:v>two other applicants are waiting outside for the same interview</x:v>
      </x:c>
      <x:c r="S177" s="69" t="str">
        <x:v>Green</x:v>
      </x:c>
      <x:c r="T177" s="69" t="str">
        <x:v>IES_v10_8_02_SCENE_CARDS.md#L28</x:v>
      </x:c>
      <x:c r="U177" s="69" t="str">
        <x:v>動物保護施設の里親面談</x:v>
      </x:c>
      <x:c r="V177" s="69" t="str">
        <x:v>Coordinator Petra Solis pushes on "two other applicants are waiting outside", and the whole exchange turns on honest self-assessment and safety.</x:v>
      </x:c>
      <x:c r="W177" s="69" t="str">
        <x:v>practical</x:v>
      </x:c>
    </x:row>
    <x:row r="178" ht="44" customHeight="1">
      <x:c r="A178" s="69" t="str">
        <x:v>L29</x:v>
      </x:c>
      <x:c r="B178" s="69" t="str">
        <x:v>法律・公共</x:v>
      </x:c>
      <x:c r="C178" s="69" t="str">
        <x:v>The Noise Ordinance Hearing</x:v>
      </x:c>
      <x:c r="D178" s="69" t="str">
        <x:v>騒音条例のオンライン公聴会</x:v>
      </x:c>
      <x:c r="E178" s="69" t="str">
        <x:v>Present day; a virtual public hearing on a proposed late-night noise rule. No supernatural rule is added.</x:v>
      </x:c>
      <x:c r="F178" s="69" t="str">
        <x:v>a small-business owner whose livelihood depends on evening hours</x:v>
      </x:c>
      <x:c r="G178" s="69" t="str">
        <x:v>Councilwoman Adaeze Nwosu, weighing residents against businesses</x:v>
      </x:c>
      <x:c r="H178" s="69" t="str">
        <x:v>Breeze</x:v>
      </x:c>
      <x:c r="I178" s="69" t="str">
        <x:v>表情豊かで真剣。緊迫、怪異、冒険に合う</x:v>
      </x:c>
      <x:c r="J178" s="69" t="str">
        <x:v>B1–C1</x:v>
      </x:c>
      <x:c r="K178" s="69" t="str">
        <x:v>ふつう</x:v>
      </x:c>
      <x:c r="L178" s="69" t="str">
        <x:v>2〜3文で自然に受け答え</x:v>
      </x:c>
      <x:c r="M178" s="69" t="str">
        <x:v>persuasive testimony and time management</x:v>
      </x:c>
      <x:c r="N178" s="69" t="str">
        <x:v>one-to-one; the comment queue is; persuasive testimony</x:v>
      </x:c>
      <x:c r="O178" s="69" t="str">
        <x:v>procedural, tense, and fair</x:v>
      </x:c>
      <x:c r="P178" s="71" t="n">
        <x:v>10</x:v>
      </x:c>
      <x:c r="Q178" s="69" t="str">
        <x:v>make an economic and community case within your speaking slot</x:v>
      </x:c>
      <x:c r="R178" s="69" t="str">
        <x:v>the comment queue is long and time per speaker is strictly capped</x:v>
      </x:c>
      <x:c r="S178" s="69" t="str">
        <x:v>Green</x:v>
      </x:c>
      <x:c r="T178" s="69" t="str">
        <x:v>IES_v10_8_02_SCENE_CARDS.md#L29</x:v>
      </x:c>
      <x:c r="U178" s="69" t="str">
        <x:v>騒音条例のオンライン公聴会</x:v>
      </x:c>
      <x:c r="V178" s="69" t="str">
        <x:v>Councilwoman Adaeze Nwosu pushes on "the comment queue is long and", and the whole exchange turns on persuasive testimony and time.</x:v>
      </x:c>
      <x:c r="W178" s="69" t="str">
        <x:v>practical</x:v>
      </x:c>
    </x:row>
    <x:row r="179" ht="44" customHeight="1">
      <x:c r="A179" s="69" t="str">
        <x:v>L30</x:v>
      </x:c>
      <x:c r="B179" s="69" t="str">
        <x:v>法律・公共</x:v>
      </x:c>
      <x:c r="C179" s="69" t="str">
        <x:v>The Guarantor Request</x:v>
      </x:c>
      <x:c r="D179" s="69" t="str">
        <x:v>身元保証人になる相談</x:v>
      </x:c>
      <x:c r="E179" s="69" t="str">
        <x:v>Present day; a rental agency office where a friend needs a guarantor urgently. No supernatural rule is added.</x:v>
      </x:c>
      <x:c r="F179" s="69" t="str">
        <x:v>the friend asked to co-sign a lease you have concerns about</x:v>
      </x:c>
      <x:c r="G179" s="69" t="str">
        <x:v>Agent Lucia Beaumont, needing a decision before close of business</x:v>
      </x:c>
      <x:c r="H179" s="69" t="str">
        <x:v>Breeze</x:v>
      </x:c>
      <x:c r="I179" s="69" t="str">
        <x:v>表情豊かで真剣。緊迫、怪異、冒険に合う</x:v>
      </x:c>
      <x:c r="J179" s="69" t="str">
        <x:v>A2–B2</x:v>
      </x:c>
      <x:c r="K179" s="69" t="str">
        <x:v>やさしい</x:v>
      </x:c>
      <x:c r="L179" s="69" t="str">
        <x:v>短い返事でOK。選択肢や言い換えあり</x:v>
      </x:c>
      <x:c r="M179" s="69" t="str">
        <x:v>risk questions and boundary setting</x:v>
      </x:c>
      <x:c r="N179" s="69" t="str">
        <x:v>one-to-one; the apartment will be; risk questions</x:v>
      </x:c>
      <x:c r="O179" s="69" t="str">
        <x:v>procedural, tense, and fair</x:v>
      </x:c>
      <x:c r="P179" s="71" t="n">
        <x:v>10</x:v>
      </x:c>
      <x:c r="Q179" s="69" t="str">
        <x:v>ask hard questions before agreeing to real financial risk</x:v>
      </x:c>
      <x:c r="R179" s="69" t="str">
        <x:v>the apartment will be released to another applicant by 5 p.m.</x:v>
      </x:c>
      <x:c r="S179" s="69" t="str">
        <x:v>Green</x:v>
      </x:c>
      <x:c r="T179" s="69" t="str">
        <x:v>IES_v10_8_02_SCENE_CARDS.md#L30</x:v>
      </x:c>
      <x:c r="U179" s="69" t="str">
        <x:v>身元保証人になる相談</x:v>
      </x:c>
      <x:c r="V179" s="69" t="str">
        <x:v>Agent Lucia Beaumont pushes on "the apartment will be released to", and the whole exchange turns on risk questions and boundary.</x:v>
      </x:c>
      <x:c r="W179" s="69" t="str">
        <x:v>practical</x:v>
      </x:c>
    </x:row>
    <x:row r="180" ht="44" customHeight="1">
      <x:c r="A180" s="69" t="str">
        <x:v>L31</x:v>
      </x:c>
      <x:c r="B180" s="69" t="str">
        <x:v>法律・公共</x:v>
      </x:c>
      <x:c r="C180" s="69" t="str">
        <x:v>The Library Card Suspension</x:v>
      </x:c>
      <x:c r="D180" s="69" t="str">
        <x:v>図書館カードの規約違反</x:v>
      </x:c>
      <x:c r="E180" s="69" t="str">
        <x:v>Present day; a public library service desk after repeated fine disputes. No supernatural rule is added.</x:v>
      </x:c>
      <x:c r="F180" s="69" t="str">
        <x:v>the patron whose card has just been suspended</x:v>
      </x:c>
      <x:c r="G180" s="69" t="str">
        <x:v>Librarian Faustine Ridley, enforcing policy she did not write</x:v>
      </x:c>
      <x:c r="H180" s="69" t="str">
        <x:v>Breeze</x:v>
      </x:c>
      <x:c r="I180" s="69" t="str">
        <x:v>表情豊かで真剣。緊迫、怪異、冒険に合う</x:v>
      </x:c>
      <x:c r="J180" s="69" t="str">
        <x:v>A2–B1</x:v>
      </x:c>
      <x:c r="K180" s="69" t="str">
        <x:v>やさしい</x:v>
      </x:c>
      <x:c r="L180" s="69" t="str">
        <x:v>短い返事でOK。選択肢や言い換えあり</x:v>
      </x:c>
      <x:c r="M180" s="69" t="str">
        <x:v>policy clarification and constructive appeal</x:v>
      </x:c>
      <x:c r="N180" s="69" t="str">
        <x:v>one-to-one; a research deadline depends; policy clarification</x:v>
      </x:c>
      <x:c r="O180" s="69" t="str">
        <x:v>procedural, tense, and fair</x:v>
      </x:c>
      <x:c r="P180" s="71" t="n">
        <x:v>8</x:v>
      </x:c>
      <x:c r="Q180" s="69" t="str">
        <x:v>understand the actual policy and propose a path to reinstatement</x:v>
      </x:c>
      <x:c r="R180" s="69" t="str">
        <x:v>a research deadline depends on borrowing privileges today</x:v>
      </x:c>
      <x:c r="S180" s="69" t="str">
        <x:v>Green</x:v>
      </x:c>
      <x:c r="T180" s="69" t="str">
        <x:v>IES_v10_8_02_SCENE_CARDS.md#L31</x:v>
      </x:c>
      <x:c r="U180" s="69" t="str">
        <x:v>図書館カードの規約違反</x:v>
      </x:c>
      <x:c r="V180" s="69" t="str">
        <x:v>Librarian Faustine Ridley pushes on "a research deadline depends on borrowing", and the whole exchange turns on policy clarification and constructive.</x:v>
      </x:c>
      <x:c r="W180" s="69" t="str">
        <x:v>practical</x:v>
      </x:c>
    </x:row>
    <x:row r="181" ht="44" customHeight="1">
      <x:c r="A181" s="69" t="str">
        <x:v>L32</x:v>
      </x:c>
      <x:c r="B181" s="69" t="str">
        <x:v>法律・公共</x:v>
      </x:c>
      <x:c r="C181" s="69" t="str">
        <x:v>The Nonprofit's Missing Receipts</x:v>
      </x:c>
      <x:c r="D181" s="69" t="str">
        <x:v>ボランティア団体の会計不明瞭</x:v>
      </x:c>
      <x:c r="E181" s="69" t="str">
        <x:v>Present day; a community nonprofit's small office before an annual audit. No supernatural rule is added.</x:v>
      </x:c>
      <x:c r="F181" s="69" t="str">
        <x:v>the volunteer treasurer facing uncomfortable questions</x:v>
      </x:c>
      <x:c r="G181" s="69" t="str">
        <x:v>Board Chair Rosalind Kemp, needing answers before donors ask</x:v>
      </x:c>
      <x:c r="H181" s="69" t="str">
        <x:v>Breeze</x:v>
      </x:c>
      <x:c r="I181" s="69" t="str">
        <x:v>表情豊かで真剣。緊迫、怪異、冒険に合う</x:v>
      </x:c>
      <x:c r="J181" s="69" t="str">
        <x:v>B1–B2</x:v>
      </x:c>
      <x:c r="K181" s="69" t="str">
        <x:v>ふつう</x:v>
      </x:c>
      <x:c r="L181" s="69" t="str">
        <x:v>2〜3文で自然に受け答え</x:v>
      </x:c>
      <x:c r="M181" s="69" t="str">
        <x:v>transparent accounting and process improvement</x:v>
      </x:c>
      <x:c r="N181" s="69" t="str">
        <x:v>one-to-one; the annual report is; transparent accounting</x:v>
      </x:c>
      <x:c r="O181" s="69" t="str">
        <x:v>procedural, tense, and fair</x:v>
      </x:c>
      <x:c r="P181" s="71" t="n">
        <x:v>12</x:v>
      </x:c>
      <x:c r="Q181" s="69" t="str">
        <x:v>reconstruct spending honestly and propose a fix for next year</x:v>
      </x:c>
      <x:c r="R181" s="69" t="str">
        <x:v>the annual report is due to funders in four days</x:v>
      </x:c>
      <x:c r="S181" s="69" t="str">
        <x:v>Green</x:v>
      </x:c>
      <x:c r="T181" s="69" t="str">
        <x:v>IES_v10_8_02_SCENE_CARDS.md#L32</x:v>
      </x:c>
      <x:c r="U181" s="69" t="str">
        <x:v>ボランティア団体の会計不明瞭</x:v>
      </x:c>
      <x:c r="V181" s="69" t="str">
        <x:v>Board Chair Rosalind Kemp pushes on "the annual report is due to", and the whole exchange turns on transparent accounting and process.</x:v>
      </x:c>
      <x:c r="W181" s="69" t="str">
        <x:v>practical</x:v>
      </x:c>
    </x:row>
    <x:row r="182" ht="44" customHeight="1">
      <x:c r="A182" s="69" t="str">
        <x:v>C01</x:v>
      </x:c>
      <x:c r="B182" s="69" t="str">
        <x:v>芸能・クリエイター</x:v>
      </x:c>
      <x:c r="C182" s="69" t="str">
        <x:v>The Live Stream with Your Rival</x:v>
      </x:c>
      <x:c r="D182" s="69" t="str">
        <x:v>不仲コンビの生配信</x:v>
      </x:c>
      <x:c r="E182" s="69" t="str">
        <x:v>Present day; a streaming studio seconds before a sponsored broadcast. No supernatural rule is added.</x:v>
      </x:c>
      <x:c r="F182" s="69" t="str">
        <x:v>one half of a publicly friendly but privately tense duo</x:v>
      </x:c>
      <x:c r="G182" s="69" t="str">
        <x:v>Rina Hayes, your on-camera partner and creative rival</x:v>
      </x:c>
      <x:c r="H182" s="69" t="str">
        <x:v>Juniper</x:v>
      </x:c>
      <x:c r="I182" s="69" t="str">
        <x:v>開放的で明るい。相談、再会、親密な会話に合う</x:v>
      </x:c>
      <x:c r="J182" s="69" t="str">
        <x:v>B1–B2</x:v>
      </x:c>
      <x:c r="K182" s="69" t="str">
        <x:v>ふつう</x:v>
      </x:c>
      <x:c r="L182" s="69" t="str">
        <x:v>2〜3文で自然に受け答え</x:v>
      </x:c>
      <x:c r="M182" s="69" t="str">
        <x:v>media boundaries and quick coordination</x:v>
      </x:c>
      <x:c r="N182" s="69" t="str">
        <x:v>one-to-one; the sponsor expects romantic; media boundaries</x:v>
      </x:c>
      <x:c r="O182" s="69" t="str">
        <x:v>public-facing, creative, and emotionally charged</x:v>
      </x:c>
      <x:c r="P182" s="71" t="n">
        <x:v>10</x:v>
      </x:c>
      <x:c r="Q182" s="69" t="str">
        <x:v>agree on boundaries and emergency signals before going live</x:v>
      </x:c>
      <x:c r="R182" s="69" t="str">
        <x:v>the sponsor expects romantic chemistry neither of you promised</x:v>
      </x:c>
      <x:c r="S182" s="69" t="str">
        <x:v>Green</x:v>
      </x:c>
      <x:c r="T182" s="69" t="str">
        <x:v>IES_v10_8_02_SCENE_CARDS.md#C01</x:v>
      </x:c>
      <x:c r="U182" s="69" t="str">
        <x:v>不仲コンビの生配信</x:v>
      </x:c>
      <x:c r="V182" s="69" t="str">
        <x:v>Rina Hayes pushes on "the sponsor expects romantic chemistry neither", and the whole exchange turns on media boundaries and quick.</x:v>
      </x:c>
      <x:c r="W182" s="69" t="str">
        <x:v>drama</x:v>
      </x:c>
    </x:row>
    <x:row r="183" ht="44" customHeight="1">
      <x:c r="A183" s="69" t="str">
        <x:v>C02</x:v>
      </x:c>
      <x:c r="B183" s="69" t="str">
        <x:v>芸能・クリエイター</x:v>
      </x:c>
      <x:c r="C183" s="69" t="str">
        <x:v>The Lead Actor Walks</x:v>
      </x:c>
      <x:c r="D183" s="69" t="str">
        <x:v>主演俳優の降板宣言</x:v>
      </x:c>
      <x:c r="E183" s="69" t="str">
        <x:v>Present day; a theater dressing room on opening night. No supernatural rule is added.</x:v>
      </x:c>
      <x:c r="F183" s="69" t="str">
        <x:v>the director facing a sudden resignation</x:v>
      </x:c>
      <x:c r="G183" s="69" t="str">
        <x:v>Actress Clara Monroe, the lead performer</x:v>
      </x:c>
      <x:c r="H183" s="69" t="str">
        <x:v>Juniper</x:v>
      </x:c>
      <x:c r="I183" s="69" t="str">
        <x:v>開放的で明るい。相談、再会、親密な会話に合う</x:v>
      </x:c>
      <x:c r="J183" s="69" t="str">
        <x:v>B1–C1</x:v>
      </x:c>
      <x:c r="K183" s="69" t="str">
        <x:v>ふつう</x:v>
      </x:c>
      <x:c r="L183" s="69" t="str">
        <x:v>2〜3文で自然に受け答え</x:v>
      </x:c>
      <x:c r="M183" s="69" t="str">
        <x:v>crisis listening and alternatives</x:v>
      </x:c>
      <x:c r="N183" s="69" t="str">
        <x:v>one-to-one; the audience is already; crisis listening</x:v>
      </x:c>
      <x:c r="O183" s="69" t="str">
        <x:v>public-facing, creative, and emotionally charged</x:v>
      </x:c>
      <x:c r="P183" s="71" t="n">
        <x:v>12</x:v>
      </x:c>
      <x:c r="Q183" s="69" t="str">
        <x:v>understand her reason and negotiate a safe decision</x:v>
      </x:c>
      <x:c r="R183" s="69" t="str">
        <x:v>the audience is already seated</x:v>
      </x:c>
      <x:c r="S183" s="69" t="str">
        <x:v>Green</x:v>
      </x:c>
      <x:c r="T183" s="69" t="str">
        <x:v>IES_v10_8_02_SCENE_CARDS.md#C02</x:v>
      </x:c>
      <x:c r="U183" s="69" t="str">
        <x:v>主演俳優の降板宣言</x:v>
      </x:c>
      <x:c r="V183" s="69" t="str">
        <x:v>Actress Clara Monroe pushes on "the audience is already seated", and the whole exchange turns on crisis listening and alternatives.</x:v>
      </x:c>
      <x:c r="W183" s="69" t="str">
        <x:v>drama</x:v>
      </x:c>
    </x:row>
    <x:row r="184" ht="44" customHeight="1">
      <x:c r="A184" s="69" t="str">
        <x:v>C03</x:v>
      </x:c>
      <x:c r="B184" s="69" t="str">
        <x:v>芸能・クリエイター</x:v>
      </x:c>
      <x:c r="C184" s="69" t="str">
        <x:v>The Photo Everyone Misread</x:v>
      </x:c>
      <x:c r="D184" s="69" t="str">
        <x:v>モデルの熱愛報道</x:v>
      </x:c>
      <x:c r="E184" s="69" t="str">
        <x:v>Present day; a fashion studio after a tabloid posts a misleading photo. No supernatural rule is added.</x:v>
      </x:c>
      <x:c r="F184" s="69" t="str">
        <x:v>the publicist handling the story</x:v>
      </x:c>
      <x:c r="G184" s="69" t="str">
        <x:v>Model Zoe Carter, your client and longtime friend</x:v>
      </x:c>
      <x:c r="H184" s="69" t="str">
        <x:v>Juniper</x:v>
      </x:c>
      <x:c r="I184" s="69" t="str">
        <x:v>開放的で明るい。相談、再会、親密な会話に合う</x:v>
      </x:c>
      <x:c r="J184" s="69" t="str">
        <x:v>B1–C1</x:v>
      </x:c>
      <x:c r="K184" s="69" t="str">
        <x:v>ふつう</x:v>
      </x:c>
      <x:c r="L184" s="69" t="str">
        <x:v>2〜3文で自然に受け答え</x:v>
      </x:c>
      <x:c r="M184" s="69" t="str">
        <x:v>media strategy and privacy boundaries</x:v>
      </x:c>
      <x:c r="N184" s="69" t="str">
        <x:v>one-to-one; the other person in; media strategy</x:v>
      </x:c>
      <x:c r="O184" s="69" t="str">
        <x:v>public-facing, creative, and emotionally charged</x:v>
      </x:c>
      <x:c r="P184" s="71" t="n">
        <x:v>12</x:v>
      </x:c>
      <x:c r="Q184" s="69" t="str">
        <x:v>decide whether to deny, clarify, or refuse comment</x:v>
      </x:c>
      <x:c r="R184" s="69" t="str">
        <x:v>the other person in the photo has not consented to publicity</x:v>
      </x:c>
      <x:c r="S184" s="69" t="str">
        <x:v>Green</x:v>
      </x:c>
      <x:c r="T184" s="69" t="str">
        <x:v>IES_v10_8_02_SCENE_CARDS.md#C03</x:v>
      </x:c>
      <x:c r="U184" s="69" t="str">
        <x:v>モデルの熱愛報道</x:v>
      </x:c>
      <x:c r="V184" s="69" t="str">
        <x:v>Model Zoe Carter pushes on "the other person in the photo", and the whole exchange turns on media strategy and privacy.</x:v>
      </x:c>
      <x:c r="W184" s="69" t="str">
        <x:v>drama</x:v>
      </x:c>
    </x:row>
    <x:row r="185" ht="44" customHeight="1">
      <x:c r="A185" s="69" t="str">
        <x:v>C04</x:v>
      </x:c>
      <x:c r="B185" s="69" t="str">
        <x:v>芸能・クリエイター</x:v>
      </x:c>
      <x:c r="C185" s="69" t="str">
        <x:v>Working with Your Favorite Artist</x:v>
      </x:c>
      <x:c r="D185" s="69" t="str">
        <x:v>推しと仕事をする日</x:v>
      </x:c>
      <x:c r="E185" s="69" t="str">
        <x:v>Present day; a recording studio during a first collaboration. No supernatural rule is added.</x:v>
      </x:c>
      <x:c r="F185" s="69" t="str">
        <x:v>the producer trying to remain professional</x:v>
      </x:c>
      <x:c r="G185" s="69" t="str">
        <x:v>Singer Maya Lane, the artist you have admired for years</x:v>
      </x:c>
      <x:c r="H185" s="69" t="str">
        <x:v>Juniper</x:v>
      </x:c>
      <x:c r="I185" s="69" t="str">
        <x:v>開放的で明るい。相談、再会、親密な会話に合う</x:v>
      </x:c>
      <x:c r="J185" s="69" t="str">
        <x:v>B1–B2</x:v>
      </x:c>
      <x:c r="K185" s="69" t="str">
        <x:v>ふつう</x:v>
      </x:c>
      <x:c r="L185" s="69" t="str">
        <x:v>2〜3文で自然に受け答え</x:v>
      </x:c>
      <x:c r="M185" s="69" t="str">
        <x:v>constructive feedback and professional boundaries</x:v>
      </x:c>
      <x:c r="N185" s="69" t="str">
        <x:v>one-to-one; maya asks whether your; constructive feedback</x:v>
      </x:c>
      <x:c r="O185" s="69" t="str">
        <x:v>public-facing, creative, and emotionally charged</x:v>
      </x:c>
      <x:c r="P185" s="71" t="n">
        <x:v>12</x:v>
      </x:c>
      <x:c r="Q185" s="69" t="str">
        <x:v>give honest creative feedback without becoming deferential</x:v>
      </x:c>
      <x:c r="R185" s="69" t="str">
        <x:v>Maya asks whether your praise is real or fan behavior</x:v>
      </x:c>
      <x:c r="S185" s="69" t="str">
        <x:v>Green</x:v>
      </x:c>
      <x:c r="T185" s="69" t="str">
        <x:v>IES_v10_8_02_SCENE_CARDS.md#C04</x:v>
      </x:c>
      <x:c r="U185" s="69" t="str">
        <x:v>推しと仕事をする日</x:v>
      </x:c>
      <x:c r="V185" s="69" t="str">
        <x:v>Singer Maya Lane pushes on "maya asks whether your praise is", and the whole exchange turns on constructive feedback and professional.</x:v>
      </x:c>
      <x:c r="W185" s="69" t="str">
        <x:v>drama</x:v>
      </x:c>
    </x:row>
    <x:row r="186" ht="44" customHeight="1">
      <x:c r="A186" s="69" t="str">
        <x:v>C05</x:v>
      </x:c>
      <x:c r="B186" s="69" t="str">
        <x:v>芸能・クリエイター</x:v>
      </x:c>
      <x:c r="C186" s="69" t="str">
        <x:v>Who Wrote the Ending?</x:v>
      </x:c>
      <x:c r="D186" s="69" t="str">
        <x:v>脚本のクレジット争い</x:v>
      </x:c>
      <x:c r="E186" s="69" t="str">
        <x:v>Present day; a writers' room after a hit episode airs. No supernatural rule is added.</x:v>
      </x:c>
      <x:c r="F186" s="69" t="str">
        <x:v>the junior writer whose idea was used without credit</x:v>
      </x:c>
      <x:c r="G186" s="69" t="str">
        <x:v>Showrunner Naomi Price, who approved the final script</x:v>
      </x:c>
      <x:c r="H186" s="69" t="str">
        <x:v>Juniper</x:v>
      </x:c>
      <x:c r="I186" s="69" t="str">
        <x:v>開放的で明るい。相談、再会、親密な会話に合う</x:v>
      </x:c>
      <x:c r="J186" s="69" t="str">
        <x:v>B2–C1</x:v>
      </x:c>
      <x:c r="K186" s="69" t="str">
        <x:v>しっかり</x:v>
      </x:c>
      <x:c r="L186" s="69" t="str">
        <x:v>理由説明や交渉まで</x:v>
      </x:c>
      <x:c r="M186" s="69" t="str">
        <x:v>assertive negotiation and attribution</x:v>
      </x:c>
      <x:c r="N186" s="69" t="str">
        <x:v>one-to-one; awards submissions close tonight; assertive negotiation</x:v>
      </x:c>
      <x:c r="O186" s="69" t="str">
        <x:v>public-facing, creative, and emotionally charged</x:v>
      </x:c>
      <x:c r="P186" s="71" t="n">
        <x:v>12</x:v>
      </x:c>
      <x:c r="Q186" s="69" t="str">
        <x:v>ask for correction and a future credit process</x:v>
      </x:c>
      <x:c r="R186" s="69" t="str">
        <x:v>awards submissions close tonight</x:v>
      </x:c>
      <x:c r="S186" s="69" t="str">
        <x:v>Green</x:v>
      </x:c>
      <x:c r="T186" s="69" t="str">
        <x:v>IES_v10_8_02_SCENE_CARDS.md#C05</x:v>
      </x:c>
      <x:c r="U186" s="69" t="str">
        <x:v>脚本のクレジット争い</x:v>
      </x:c>
      <x:c r="V186" s="69" t="str">
        <x:v>Showrunner Naomi Price pushes on "awards submissions close tonight", and the whole exchange turns on assertive negotiation and attribution.</x:v>
      </x:c>
      <x:c r="W186" s="69" t="str">
        <x:v>drama</x:v>
      </x:c>
    </x:row>
    <x:row r="187" ht="44" customHeight="1">
      <x:c r="A187" s="69" t="str">
        <x:v>C06</x:v>
      </x:c>
      <x:c r="B187" s="69" t="str">
        <x:v>芸能・クリエイター</x:v>
      </x:c>
      <x:c r="C187" s="69" t="str">
        <x:v>After the Hot Mic</x:v>
      </x:c>
      <x:c r="D187" s="69" t="str">
        <x:v>配信事故の直後</x:v>
      </x:c>
      <x:c r="E187" s="69" t="str">
        <x:v>Present day; a backstage room after a private remark went viral. No supernatural rule is added.</x:v>
      </x:c>
      <x:c r="F187" s="69" t="str">
        <x:v>the creator heard in the clip</x:v>
      </x:c>
      <x:c r="G187" s="69" t="str">
        <x:v>Streamer Lily Chen, the collaborator hurt by the remark</x:v>
      </x:c>
      <x:c r="H187" s="69" t="str">
        <x:v>Juniper</x:v>
      </x:c>
      <x:c r="I187" s="69" t="str">
        <x:v>開放的で明るい。相談、再会、親密な会話に合う</x:v>
      </x:c>
      <x:c r="J187" s="69" t="str">
        <x:v>B1–B2</x:v>
      </x:c>
      <x:c r="K187" s="69" t="str">
        <x:v>ふつう</x:v>
      </x:c>
      <x:c r="L187" s="69" t="str">
        <x:v>2〜3文で自然に受け答え</x:v>
      </x:c>
      <x:c r="M187" s="69" t="str">
        <x:v>public apology and private repair</x:v>
      </x:c>
      <x:c r="N187" s="69" t="str">
        <x:v>one-to-one; millions of viewers are; public apology</x:v>
      </x:c>
      <x:c r="O187" s="69" t="str">
        <x:v>public-facing, creative, and emotionally charged</x:v>
      </x:c>
      <x:c r="P187" s="71" t="n">
        <x:v>10</x:v>
      </x:c>
      <x:c r="Q187" s="69" t="str">
        <x:v>apologize and decide what to say publicly</x:v>
      </x:c>
      <x:c r="R187" s="69" t="str">
        <x:v>millions of viewers are forming conclusions from ten seconds</x:v>
      </x:c>
      <x:c r="S187" s="69" t="str">
        <x:v>Green</x:v>
      </x:c>
      <x:c r="T187" s="69" t="str">
        <x:v>IES_v10_8_02_SCENE_CARDS.md#C06</x:v>
      </x:c>
      <x:c r="U187" s="69" t="str">
        <x:v>配信事故の直後</x:v>
      </x:c>
      <x:c r="V187" s="69" t="str">
        <x:v>Streamer Lily Chen pushes on "millions of viewers are forming conclusions", and the whole exchange turns on public apology and private.</x:v>
      </x:c>
      <x:c r="W187" s="69" t="str">
        <x:v>drama</x:v>
      </x:c>
    </x:row>
    <x:row r="188" ht="44" customHeight="1">
      <x:c r="A188" s="69" t="str">
        <x:v>C07</x:v>
      </x:c>
      <x:c r="B188" s="69" t="str">
        <x:v>芸能・クリエイター</x:v>
      </x:c>
      <x:c r="C188" s="69" t="str">
        <x:v>The Hiatus Announcement</x:v>
      </x:c>
      <x:c r="D188" s="69" t="str">
        <x:v>アイドルの活動休止会見</x:v>
      </x:c>
      <x:c r="E188" s="69" t="str">
        <x:v>Present day; a rehearsal studio before a press conference. No supernatural rule is added.</x:v>
      </x:c>
      <x:c r="F188" s="69" t="str">
        <x:v>the manager preparing an artist for difficult questions</x:v>
      </x:c>
      <x:c r="G188" s="69" t="str">
        <x:v>Idol Hana Sato, exhausted and determined to pause work</x:v>
      </x:c>
      <x:c r="H188" s="69" t="str">
        <x:v>Juniper</x:v>
      </x:c>
      <x:c r="I188" s="69" t="str">
        <x:v>開放的で明るい。相談、再会、親密な会話に合う</x:v>
      </x:c>
      <x:c r="J188" s="69" t="str">
        <x:v>B1–C1</x:v>
      </x:c>
      <x:c r="K188" s="69" t="str">
        <x:v>ふつう</x:v>
      </x:c>
      <x:c r="L188" s="69" t="str">
        <x:v>2〜3文で自然に受け答え</x:v>
      </x:c>
      <x:c r="M188" s="69" t="str">
        <x:v>message design and boundary setting</x:v>
      </x:c>
      <x:c r="N188" s="69" t="str">
        <x:v>one-to-one; the agency wants a; message design</x:v>
      </x:c>
      <x:c r="O188" s="69" t="str">
        <x:v>public-facing, creative, and emotionally charged</x:v>
      </x:c>
      <x:c r="P188" s="71" t="n">
        <x:v>12</x:v>
      </x:c>
      <x:c r="Q188" s="69" t="str">
        <x:v>protect her privacy while making the announcement credible</x:v>
      </x:c>
      <x:c r="R188" s="69" t="str">
        <x:v>the agency wants a vague medical excuse Hana rejects</x:v>
      </x:c>
      <x:c r="S188" s="69" t="str">
        <x:v>Green</x:v>
      </x:c>
      <x:c r="T188" s="69" t="str">
        <x:v>IES_v10_8_02_SCENE_CARDS.md#C07</x:v>
      </x:c>
      <x:c r="U188" s="69" t="str">
        <x:v>アイドルの活動休止会見</x:v>
      </x:c>
      <x:c r="V188" s="69" t="str">
        <x:v>Idol Hana Sato pushes on "the agency wants a vague medical", and the whole exchange turns on message design and boundary.</x:v>
      </x:c>
      <x:c r="W188" s="69" t="str">
        <x:v>drama</x:v>
      </x:c>
    </x:row>
    <x:row r="189" ht="44" customHeight="1">
      <x:c r="A189" s="69" t="str">
        <x:v>C08</x:v>
      </x:c>
      <x:c r="B189" s="69" t="str">
        <x:v>芸能・クリエイター</x:v>
      </x:c>
      <x:c r="C189" s="69" t="str">
        <x:v>The Contract Couple Renewal</x:v>
      </x:c>
      <x:c r="D189" s="69" t="str">
        <x:v>偽装カップル契約の更新</x:v>
      </x:c>
      <x:c r="E189" s="69" t="str">
        <x:v>Present day; a talent agency office after a successful publicity campaign. No supernatural rule is added.</x:v>
      </x:c>
      <x:c r="F189" s="69" t="str">
        <x:v>one performer in a staged celebrity relationship</x:v>
      </x:c>
      <x:c r="G189" s="69" t="str">
        <x:v>Actress Eva Brooks, your contract partner</x:v>
      </x:c>
      <x:c r="H189" s="69" t="str">
        <x:v>Juniper</x:v>
      </x:c>
      <x:c r="I189" s="69" t="str">
        <x:v>開放的で明るい。相談、再会、親密な会話に合う</x:v>
      </x:c>
      <x:c r="J189" s="69" t="str">
        <x:v>B1–C1</x:v>
      </x:c>
      <x:c r="K189" s="69" t="str">
        <x:v>ふつう</x:v>
      </x:c>
      <x:c r="L189" s="69" t="str">
        <x:v>2〜3文で自然に受け答え</x:v>
      </x:c>
      <x:c r="M189" s="69" t="str">
        <x:v>contract negotiation and emotional clarity</x:v>
      </x:c>
      <x:c r="N189" s="69" t="str">
        <x:v>one-to-one; the agency assumes both; contract negotiation</x:v>
      </x:c>
      <x:c r="O189" s="69" t="str">
        <x:v>public-facing, creative, and emotionally charged</x:v>
      </x:c>
      <x:c r="P189" s="71" t="n">
        <x:v>15</x:v>
      </x:c>
      <x:c r="Q189" s="69" t="str">
        <x:v>decide whether to renew and separate public obligations from private feelings</x:v>
      </x:c>
      <x:c r="R189" s="69" t="str">
        <x:v>the agency assumes both of you have already agreed</x:v>
      </x:c>
      <x:c r="S189" s="69" t="str">
        <x:v>Green</x:v>
      </x:c>
      <x:c r="T189" s="69" t="str">
        <x:v>IES_v10_8_02_SCENE_CARDS.md#C08</x:v>
      </x:c>
      <x:c r="U189" s="69" t="str">
        <x:v>偽装カップル契約の更新</x:v>
      </x:c>
      <x:c r="V189" s="69" t="str">
        <x:v>Actress Eva Brooks pushes on "the agency assumes both of you", and the whole exchange turns on contract negotiation and emotional.</x:v>
      </x:c>
      <x:c r="W189" s="69" t="str">
        <x:v>drama</x:v>
      </x:c>
    </x:row>
    <x:row r="190" ht="44" customHeight="1">
      <x:c r="A190" s="69" t="str">
        <x:v>C09</x:v>
      </x:c>
      <x:c r="B190" s="69" t="str">
        <x:v>芸能・クリエイター</x:v>
      </x:c>
      <x:c r="C190" s="69" t="str">
        <x:v>The Deleted Photograph</x:v>
      </x:c>
      <x:c r="D190" s="69" t="str">
        <x:v>写真家が消した一枚</x:v>
      </x:c>
      <x:c r="E190" s="69" t="str">
        <x:v>Present day; a gallery the night before an exhibition. No supernatural rule is added.</x:v>
      </x:c>
      <x:c r="F190" s="69" t="str">
        <x:v>the curator who discovers a missing centerpiece</x:v>
      </x:c>
      <x:c r="G190" s="69" t="str">
        <x:v>Photographer Mia Laurent, the artist who deleted her own work</x:v>
      </x:c>
      <x:c r="H190" s="69" t="str">
        <x:v>Juniper</x:v>
      </x:c>
      <x:c r="I190" s="69" t="str">
        <x:v>開放的で明るい。相談、再会、親密な会話に合う</x:v>
      </x:c>
      <x:c r="J190" s="69" t="str">
        <x:v>B1–C1</x:v>
      </x:c>
      <x:c r="K190" s="69" t="str">
        <x:v>ふつう</x:v>
      </x:c>
      <x:c r="L190" s="69" t="str">
        <x:v>2〜3文で自然に受け答え</x:v>
      </x:c>
      <x:c r="M190" s="69" t="str">
        <x:v>artistic intent and compromise</x:v>
      </x:c>
      <x:c r="N190" s="69" t="str">
        <x:v>one-to-one; the catalogue and press; artistic intent</x:v>
      </x:c>
      <x:c r="O190" s="69" t="str">
        <x:v>public-facing, creative, and emotionally charged</x:v>
      </x:c>
      <x:c r="P190" s="71" t="n">
        <x:v>12</x:v>
      </x:c>
      <x:c r="Q190" s="69" t="str">
        <x:v>understand the decision and redesign the exhibition without coercion</x:v>
      </x:c>
      <x:c r="R190" s="69" t="str">
        <x:v>the catalogue and press coverage center on that image</x:v>
      </x:c>
      <x:c r="S190" s="69" t="str">
        <x:v>Green</x:v>
      </x:c>
      <x:c r="T190" s="69" t="str">
        <x:v>IES_v10_8_02_SCENE_CARDS.md#C09</x:v>
      </x:c>
      <x:c r="U190" s="69" t="str">
        <x:v>写真家が消した一枚</x:v>
      </x:c>
      <x:c r="V190" s="69" t="str">
        <x:v>Photographer Mia Laurent pushes on "the catalogue and press coverage center", and the whole exchange turns on artistic intent and compromise.</x:v>
      </x:c>
      <x:c r="W190" s="69" t="str">
        <x:v>drama</x:v>
      </x:c>
    </x:row>
    <x:row r="191" ht="44" customHeight="1">
      <x:c r="A191" s="69" t="str">
        <x:v>C10</x:v>
      </x:c>
      <x:c r="B191" s="69" t="str">
        <x:v>芸能・クリエイター</x:v>
      </x:c>
      <x:c r="C191" s="69" t="str">
        <x:v>One More Take</x:v>
      </x:c>
      <x:c r="D191" s="69" t="str">
        <x:v>声優オーディションの再挑戦</x:v>
      </x:c>
      <x:c r="E191" s="69" t="str">
        <x:v>Present day; a voice-recording booth after a failed audition take. No supernatural rule is added.</x:v>
      </x:c>
      <x:c r="F191" s="69" t="str">
        <x:v>the performer asking for one final attempt</x:v>
      </x:c>
      <x:c r="G191" s="69" t="str">
        <x:v>Director Sara Kim, deciding whether to continue</x:v>
      </x:c>
      <x:c r="H191" s="69" t="str">
        <x:v>Juniper</x:v>
      </x:c>
      <x:c r="I191" s="69" t="str">
        <x:v>開放的で明るい。相談、再会、親密な会話に合う</x:v>
      </x:c>
      <x:c r="J191" s="69" t="str">
        <x:v>A2–B2</x:v>
      </x:c>
      <x:c r="K191" s="69" t="str">
        <x:v>やさしい</x:v>
      </x:c>
      <x:c r="L191" s="69" t="str">
        <x:v>短い返事でOK。選択肢や言い換えあり</x:v>
      </x:c>
      <x:c r="M191" s="69" t="str">
        <x:v>feedback questions and concise self-advocacy</x:v>
      </x:c>
      <x:c r="N191" s="69" t="str">
        <x:v>one-to-one; the studio schedule allows; feedback questions</x:v>
      </x:c>
      <x:c r="O191" s="69" t="str">
        <x:v>public-facing, creative, and emotionally charged</x:v>
      </x:c>
      <x:c r="P191" s="71" t="n">
        <x:v>8</x:v>
      </x:c>
      <x:c r="Q191" s="69" t="str">
        <x:v>identify what was wrong and request a specific adjustment</x:v>
      </x:c>
      <x:c r="R191" s="69" t="str">
        <x:v>the studio schedule allows only two more minutes</x:v>
      </x:c>
      <x:c r="S191" s="69" t="str">
        <x:v>Green</x:v>
      </x:c>
      <x:c r="T191" s="69" t="str">
        <x:v>IES_v10_8_02_SCENE_CARDS.md#C10</x:v>
      </x:c>
      <x:c r="U191" s="69" t="str">
        <x:v>声優オーディションの再挑戦</x:v>
      </x:c>
      <x:c r="V191" s="69" t="str">
        <x:v>Director Sara Kim pushes on "the studio schedule allows only two", and the whole exchange turns on feedback questions and concise.</x:v>
      </x:c>
      <x:c r="W191" s="69" t="str">
        <x:v>drama</x:v>
      </x:c>
    </x:row>
    <x:row r="192" ht="44" customHeight="1">
      <x:c r="A192" s="69" t="str">
        <x:v>C11</x:v>
      </x:c>
      <x:c r="B192" s="69" t="str">
        <x:v>芸能・クリエイター</x:v>
      </x:c>
      <x:c r="C192" s="69" t="str">
        <x:v>The Comedy Duo Breakup</x:v>
      </x:c>
      <x:c r="D192" s="69" t="str">
        <x:v>コメディ相方の解散相談</x:v>
      </x:c>
      <x:c r="E192" s="69" t="str">
        <x:v>Present day; an empty club after a poorly received show. No supernatural rule is added.</x:v>
      </x:c>
      <x:c r="F192" s="69" t="str">
        <x:v>one member of a long-running comedy duo</x:v>
      </x:c>
      <x:c r="G192" s="69" t="str">
        <x:v>Comedian Jess Morgan, your stage partner</x:v>
      </x:c>
      <x:c r="H192" s="69" t="str">
        <x:v>Juniper</x:v>
      </x:c>
      <x:c r="I192" s="69" t="str">
        <x:v>開放的で明るい。相談、再会、親密な会話に合う</x:v>
      </x:c>
      <x:c r="J192" s="69" t="str">
        <x:v>B1–B2</x:v>
      </x:c>
      <x:c r="K192" s="69" t="str">
        <x:v>ふつう</x:v>
      </x:c>
      <x:c r="L192" s="69" t="str">
        <x:v>2〜3文で自然に受け答え</x:v>
      </x:c>
      <x:c r="M192" s="69" t="str">
        <x:v>difficult conversation and option framing</x:v>
      </x:c>
      <x:c r="N192" s="69" t="str">
        <x:v>one-to-one; a major television audition; difficult conversation</x:v>
      </x:c>
      <x:c r="O192" s="69" t="str">
        <x:v>public-facing, creative, and emotionally charged</x:v>
      </x:c>
      <x:c r="P192" s="71" t="n">
        <x:v>12</x:v>
      </x:c>
      <x:c r="Q192" s="69" t="str">
        <x:v>discuss whether the act, the partnership, or only the format should end</x:v>
      </x:c>
      <x:c r="R192" s="69" t="str">
        <x:v>a major television audition is tomorrow</x:v>
      </x:c>
      <x:c r="S192" s="69" t="str">
        <x:v>Green</x:v>
      </x:c>
      <x:c r="T192" s="69" t="str">
        <x:v>IES_v10_8_02_SCENE_CARDS.md#C11</x:v>
      </x:c>
      <x:c r="U192" s="69" t="str">
        <x:v>コメディ相方の解散相談</x:v>
      </x:c>
      <x:c r="V192" s="69" t="str">
        <x:v>Comedian Jess Morgan pushes on "a major television audition is tomorrow", and the whole exchange turns on difficult conversation and option.</x:v>
      </x:c>
      <x:c r="W192" s="69" t="str">
        <x:v>drama</x:v>
      </x:c>
    </x:row>
    <x:row r="193" ht="44" customHeight="1">
      <x:c r="A193" s="69" t="str">
        <x:v>C12</x:v>
      </x:c>
      <x:c r="B193" s="69" t="str">
        <x:v>芸能・クリエイター</x:v>
      </x:c>
      <x:c r="C193" s="69" t="str">
        <x:v>The Anonymous Account</x:v>
      </x:c>
      <x:c r="D193" s="69" t="str">
        <x:v>ゲーム実況者の秘密アカウント</x:v>
      </x:c>
      <x:c r="E193" s="69" t="str">
        <x:v>Present day; a creator studio after an anonymous critic is identified. No supernatural rule is added.</x:v>
      </x:c>
      <x:c r="F193" s="69" t="str">
        <x:v>the channel owner who has been reading the posts</x:v>
      </x:c>
      <x:c r="G193" s="69" t="str">
        <x:v>Streamer Yuki Allen, your collaborator and the account's author</x:v>
      </x:c>
      <x:c r="H193" s="69" t="str">
        <x:v>Juniper</x:v>
      </x:c>
      <x:c r="I193" s="69" t="str">
        <x:v>開放的で明るい。相談、再会、親密な会話に合う</x:v>
      </x:c>
      <x:c r="J193" s="69" t="str">
        <x:v>B1–B2</x:v>
      </x:c>
      <x:c r="K193" s="69" t="str">
        <x:v>ふつう</x:v>
      </x:c>
      <x:c r="L193" s="69" t="str">
        <x:v>2〜3文で自然に受け答え</x:v>
      </x:c>
      <x:c r="M193" s="69" t="str">
        <x:v>confrontation and privacy negotiation</x:v>
      </x:c>
      <x:c r="N193" s="69" t="str">
        <x:v>one-to-one; screenshots may become public; confrontation</x:v>
      </x:c>
      <x:c r="O193" s="69" t="str">
        <x:v>public-facing, creative, and emotionally charged</x:v>
      </x:c>
      <x:c r="P193" s="71" t="n">
        <x:v>12</x:v>
      </x:c>
      <x:c r="Q193" s="69" t="str">
        <x:v>confront the criticism and decide what remains private</x:v>
      </x:c>
      <x:c r="R193" s="69" t="str">
        <x:v>screenshots may become public within an hour</x:v>
      </x:c>
      <x:c r="S193" s="69" t="str">
        <x:v>Green</x:v>
      </x:c>
      <x:c r="T193" s="69" t="str">
        <x:v>IES_v10_8_02_SCENE_CARDS.md#C12</x:v>
      </x:c>
      <x:c r="U193" s="69" t="str">
        <x:v>ゲーム実況者の秘密アカウント</x:v>
      </x:c>
      <x:c r="V193" s="69" t="str">
        <x:v>Streamer Yuki Allen pushes on "screenshots may become public within an", and the whole exchange turns on confrontation and privacy negotiation.</x:v>
      </x:c>
      <x:c r="W193" s="69" t="str">
        <x:v>drama</x:v>
      </x:c>
    </x:row>
    <x:row r="194" ht="44" customHeight="1">
      <x:c r="A194" s="69" t="str">
        <x:v>C13</x:v>
      </x:c>
      <x:c r="B194" s="69" t="str">
        <x:v>芸能・クリエイター</x:v>
      </x:c>
      <x:c r="C194" s="69" t="str">
        <x:v>The Author Rejects the Ending</x:v>
      </x:c>
      <x:c r="D194" s="69" t="str">
        <x:v>小説家の結末拒否</x:v>
      </x:c>
      <x:c r="E194" s="69" t="str">
        <x:v>Present day; a publisher's office before final printing. No supernatural rule is added.</x:v>
      </x:c>
      <x:c r="F194" s="69" t="str">
        <x:v>the editor responsible for delivering the manuscript</x:v>
      </x:c>
      <x:c r="G194" s="69" t="str">
        <x:v>Novelist Nora Wells, who wants to replace the ending overnight</x:v>
      </x:c>
      <x:c r="H194" s="69" t="str">
        <x:v>Juniper</x:v>
      </x:c>
      <x:c r="I194" s="69" t="str">
        <x:v>開放的で明るい。相談、再会、親密な会話に合う</x:v>
      </x:c>
      <x:c r="J194" s="69" t="str">
        <x:v>B2–C1</x:v>
      </x:c>
      <x:c r="K194" s="69" t="str">
        <x:v>しっかり</x:v>
      </x:c>
      <x:c r="L194" s="69" t="str">
        <x:v>理由説明や交渉まで</x:v>
      </x:c>
      <x:c r="M194" s="69" t="str">
        <x:v>editorial feedback and deadline negotiation</x:v>
      </x:c>
      <x:c r="N194" s="69" t="str">
        <x:v>one-to-one; printing plates are prepared; editorial feedback</x:v>
      </x:c>
      <x:c r="O194" s="69" t="str">
        <x:v>public-facing, creative, and emotionally charged</x:v>
      </x:c>
      <x:c r="P194" s="71" t="n">
        <x:v>12</x:v>
      </x:c>
      <x:c r="Q194" s="69" t="str">
        <x:v>test the new ending and negotiate what can still change</x:v>
      </x:c>
      <x:c r="R194" s="69" t="str">
        <x:v>printing plates are prepared at dawn</x:v>
      </x:c>
      <x:c r="S194" s="69" t="str">
        <x:v>Green</x:v>
      </x:c>
      <x:c r="T194" s="69" t="str">
        <x:v>IES_v10_8_02_SCENE_CARDS.md#C13</x:v>
      </x:c>
      <x:c r="U194" s="69" t="str">
        <x:v>小説家の結末拒否</x:v>
      </x:c>
      <x:c r="V194" s="69" t="str">
        <x:v>Novelist Nora Wells pushes on "printing plates are prepared at dawn", and the whole exchange turns on editorial feedback and deadline.</x:v>
      </x:c>
      <x:c r="W194" s="69" t="str">
        <x:v>drama</x:v>
      </x:c>
    </x:row>
    <x:row r="195" ht="44" customHeight="1">
      <x:c r="A195" s="69" t="str">
        <x:v>C14</x:v>
      </x:c>
      <x:c r="B195" s="69" t="str">
        <x:v>芸能・クリエイター</x:v>
      </x:c>
      <x:c r="C195" s="69" t="str">
        <x:v>The Festival Headliner Dispute</x:v>
      </x:c>
      <x:c r="D195" s="69" t="str">
        <x:v>音楽フェスの出演順</x:v>
      </x:c>
      <x:c r="E195" s="69" t="str">
        <x:v>Present day; a festival production trailer during soundcheck. No supernatural rule is added.</x:v>
      </x:c>
      <x:c r="F195" s="69" t="str">
        <x:v>the stage producer managing a schedule conflict</x:v>
      </x:c>
      <x:c r="G195" s="69" t="str">
        <x:v>Singer Amira Cole, whose team demands a later slot</x:v>
      </x:c>
      <x:c r="H195" s="69" t="str">
        <x:v>Juniper</x:v>
      </x:c>
      <x:c r="I195" s="69" t="str">
        <x:v>開放的で明るい。相談、再会、親密な会話に合う</x:v>
      </x:c>
      <x:c r="J195" s="69" t="str">
        <x:v>B1–B2</x:v>
      </x:c>
      <x:c r="K195" s="69" t="str">
        <x:v>ふつう</x:v>
      </x:c>
      <x:c r="L195" s="69" t="str">
        <x:v>2〜3文で自然に受け答え</x:v>
      </x:c>
      <x:c r="M195" s="69" t="str">
        <x:v>event negotiation and contingency planning</x:v>
      </x:c>
      <x:c r="N195" s="69" t="str">
        <x:v>one-to-one; weather may force the; event negotiation</x:v>
      </x:c>
      <x:c r="O195" s="69" t="str">
        <x:v>public-facing, creative, and emotionally charged</x:v>
      </x:c>
      <x:c r="P195" s="71" t="n">
        <x:v>12</x:v>
      </x:c>
      <x:c r="Q195" s="69" t="str">
        <x:v>protect the event schedule while addressing a legitimate technical need</x:v>
      </x:c>
      <x:c r="R195" s="69" t="str">
        <x:v>weather may force the final act to be canceled</x:v>
      </x:c>
      <x:c r="S195" s="69" t="str">
        <x:v>Green</x:v>
      </x:c>
      <x:c r="T195" s="69" t="str">
        <x:v>IES_v10_8_02_SCENE_CARDS.md#C14</x:v>
      </x:c>
      <x:c r="U195" s="69" t="str">
        <x:v>音楽フェスの出演順</x:v>
      </x:c>
      <x:c r="V195" s="69" t="str">
        <x:v>Singer Amira Cole pushes on "weather may force the final act", and the whole exchange turns on event negotiation and contingency.</x:v>
      </x:c>
      <x:c r="W195" s="69" t="str">
        <x:v>drama</x:v>
      </x:c>
    </x:row>
    <x:row r="196" ht="44" customHeight="1">
      <x:c r="A196" s="69" t="str">
        <x:v>C15</x:v>
      </x:c>
      <x:c r="B196" s="69" t="str">
        <x:v>芸能・クリエイター</x:v>
      </x:c>
      <x:c r="C196" s="69" t="str">
        <x:v>The Recipe Backlash</x:v>
      </x:c>
      <x:c r="D196" s="69" t="str">
        <x:v>炎上した料理動画</x:v>
      </x:c>
      <x:c r="E196" s="69" t="str">
        <x:v>Present day; a food creator's kitchen studio after a cultural criticism goes viral. No supernatural rule is added.</x:v>
      </x:c>
      <x:c r="F196" s="69" t="str">
        <x:v>the producer reviewing the video</x:v>
      </x:c>
      <x:c r="G196" s="69" t="str">
        <x:v>Chef Elena Ruiz, the creator defending her intent</x:v>
      </x:c>
      <x:c r="H196" s="69" t="str">
        <x:v>Juniper</x:v>
      </x:c>
      <x:c r="I196" s="69" t="str">
        <x:v>開放的で明るい。相談、再会、親密な会話に合う</x:v>
      </x:c>
      <x:c r="J196" s="69" t="str">
        <x:v>B1–C1</x:v>
      </x:c>
      <x:c r="K196" s="69" t="str">
        <x:v>ふつう</x:v>
      </x:c>
      <x:c r="L196" s="69" t="str">
        <x:v>2〜3文で自然に受け答え</x:v>
      </x:c>
      <x:c r="M196" s="69" t="str">
        <x:v>listening, accountability, and public response</x:v>
      </x:c>
      <x:c r="N196" s="69" t="str">
        <x:v>one-to-one; sponsors want the video; listening, accountability,</x:v>
      </x:c>
      <x:c r="O196" s="69" t="str">
        <x:v>public-facing, creative, and emotionally charged</x:v>
      </x:c>
      <x:c r="P196" s="71" t="n">
        <x:v>12</x:v>
      </x:c>
      <x:c r="Q196" s="69" t="str">
        <x:v>separate valid criticism from abuse and plan a response</x:v>
      </x:c>
      <x:c r="R196" s="69" t="str">
        <x:v>sponsors want the video deleted immediately</x:v>
      </x:c>
      <x:c r="S196" s="69" t="str">
        <x:v>Green</x:v>
      </x:c>
      <x:c r="T196" s="69" t="str">
        <x:v>IES_v10_8_02_SCENE_CARDS.md#C15</x:v>
      </x:c>
      <x:c r="U196" s="69" t="str">
        <x:v>炎上した料理動画</x:v>
      </x:c>
      <x:c r="V196" s="69" t="str">
        <x:v>Chef Elena Ruiz pushes on "sponsors want the video deleted immediately", and the whole exchange turns on listening, accountability, and public.</x:v>
      </x:c>
      <x:c r="W196" s="69" t="str">
        <x:v>drama</x:v>
      </x:c>
    </x:row>
    <x:row r="197" ht="44" customHeight="1">
      <x:c r="A197" s="69" t="str">
        <x:v>C16</x:v>
      </x:c>
      <x:c r="B197" s="69" t="str">
        <x:v>芸能・クリエイター</x:v>
      </x:c>
      <x:c r="C197" s="69" t="str">
        <x:v>The Camera Must Stop</x:v>
      </x:c>
      <x:c r="D197" s="69" t="str">
        <x:v>ドキュメンタリーの撮影拒否</x:v>
      </x:c>
      <x:c r="E197" s="69" t="str">
        <x:v>Present day; a documentary location during an emotionally intense interview. No supernatural rule is added.</x:v>
      </x:c>
      <x:c r="F197" s="69" t="str">
        <x:v>the producer responsible for consent</x:v>
      </x:c>
      <x:c r="G197" s="69" t="str">
        <x:v>Filmmaker Talia Green, who believes the footage is essential</x:v>
      </x:c>
      <x:c r="H197" s="69" t="str">
        <x:v>Juniper</x:v>
      </x:c>
      <x:c r="I197" s="69" t="str">
        <x:v>開放的で明るい。相談、再会、親密な会話に合う</x:v>
      </x:c>
      <x:c r="J197" s="69" t="str">
        <x:v>B2–C1</x:v>
      </x:c>
      <x:c r="K197" s="69" t="str">
        <x:v>しっかり</x:v>
      </x:c>
      <x:c r="L197" s="69" t="str">
        <x:v>理由説明や交渉まで</x:v>
      </x:c>
      <x:c r="M197" s="69" t="str">
        <x:v>ethical disagreement and consent language</x:v>
      </x:c>
      <x:c r="N197" s="69" t="str">
        <x:v>one-to-one; the subject has just; ethical disagreement</x:v>
      </x:c>
      <x:c r="O197" s="69" t="str">
        <x:v>public-facing, creative, and emotionally charged</x:v>
      </x:c>
      <x:c r="P197" s="71" t="n">
        <x:v>15</x:v>
      </x:c>
      <x:c r="Q197" s="69" t="str">
        <x:v>decide whether consent remains valid and what can be used</x:v>
      </x:c>
      <x:c r="R197" s="69" t="str">
        <x:v>the subject has just asked to stop after revealing key evidence</x:v>
      </x:c>
      <x:c r="S197" s="69" t="str">
        <x:v>Green</x:v>
      </x:c>
      <x:c r="T197" s="69" t="str">
        <x:v>IES_v10_8_02_SCENE_CARDS.md#C16</x:v>
      </x:c>
      <x:c r="U197" s="69" t="str">
        <x:v>ドキュメンタリーの撮影拒否</x:v>
      </x:c>
      <x:c r="V197" s="69" t="str">
        <x:v>Filmmaker Talia Green pushes on "the subject has just asked to", and the whole exchange turns on ethical disagreement and consent.</x:v>
      </x:c>
      <x:c r="W197" s="69" t="str">
        <x:v>drama</x:v>
      </x:c>
    </x:row>
    <x:row r="198" ht="44" customHeight="1">
      <x:c r="A198" s="69" t="str">
        <x:v>C17</x:v>
      </x:c>
      <x:c r="B198" s="69" t="str">
        <x:v>芸能・クリエイター</x:v>
      </x:c>
      <x:c r="C198" s="69" t="str">
        <x:v>Who Stands in the Center?</x:v>
      </x:c>
      <x:c r="D198" s="69" t="str">
        <x:v>新人バンドのセンター争い</x:v>
      </x:c>
      <x:c r="E198" s="69" t="str">
        <x:v>Present day; a rehearsal room before the band's first showcase. No supernatural rule is added.</x:v>
      </x:c>
      <x:c r="F198" s="69" t="str">
        <x:v>the band member asked to mediate</x:v>
      </x:c>
      <x:c r="G198" s="69" t="str">
        <x:v>Vocalist Chloe Hart, convinced she was promised the center position</x:v>
      </x:c>
      <x:c r="H198" s="69" t="str">
        <x:v>Juniper</x:v>
      </x:c>
      <x:c r="I198" s="69" t="str">
        <x:v>開放的で明るい。相談、再会、親密な会話に合う</x:v>
      </x:c>
      <x:c r="J198" s="69" t="str">
        <x:v>B1–B2</x:v>
      </x:c>
      <x:c r="K198" s="69" t="str">
        <x:v>ふつう</x:v>
      </x:c>
      <x:c r="L198" s="69" t="str">
        <x:v>2〜3文で自然に受け答え</x:v>
      </x:c>
      <x:c r="M198" s="69" t="str">
        <x:v>creative conflict and compromise</x:v>
      </x:c>
      <x:c r="N198" s="69" t="str">
        <x:v>one-to-one; the photographer arrives in; creative conflict</x:v>
      </x:c>
      <x:c r="O198" s="69" t="str">
        <x:v>public-facing, creative, and emotionally charged</x:v>
      </x:c>
      <x:c r="P198" s="71" t="n">
        <x:v>10</x:v>
      </x:c>
      <x:c r="Q198" s="69" t="str">
        <x:v>clarify expectations and agree on a performance decision</x:v>
      </x:c>
      <x:c r="R198" s="69" t="str">
        <x:v>the photographer arrives in twenty minutes</x:v>
      </x:c>
      <x:c r="S198" s="69" t="str">
        <x:v>Green</x:v>
      </x:c>
      <x:c r="T198" s="69" t="str">
        <x:v>IES_v10_8_02_SCENE_CARDS.md#C17</x:v>
      </x:c>
      <x:c r="U198" s="69" t="str">
        <x:v>新人バンドのセンター争い</x:v>
      </x:c>
      <x:c r="V198" s="69" t="str">
        <x:v>Vocalist Chloe Hart pushes on "the photographer arrives in twenty minutes", and the whole exchange turns on creative conflict and compromise.</x:v>
      </x:c>
      <x:c r="W198" s="69" t="str">
        <x:v>drama</x:v>
      </x:c>
    </x:row>
    <x:row r="199" ht="44" customHeight="1">
      <x:c r="A199" s="69" t="str">
        <x:v>C18</x:v>
      </x:c>
      <x:c r="B199" s="69" t="str">
        <x:v>芸能・クリエイター</x:v>
      </x:c>
      <x:c r="C199" s="69" t="str">
        <x:v>The Letter from Before Fame</x:v>
      </x:c>
      <x:c r="D199" s="69" t="str">
        <x:v>ファンレターの送り主</x:v>
      </x:c>
      <x:c r="E199" s="69" t="str">
        <x:v>Present day; a quiet studio after an old fan letter resurfaces. No supernatural rule is added.</x:v>
      </x:c>
      <x:c r="F199" s="69" t="str">
        <x:v>the celebrity who recognizes the handwriting</x:v>
      </x:c>
      <x:c r="G199" s="69" t="str">
        <x:v>Actress Nina Park, who believes you wrote it years ago</x:v>
      </x:c>
      <x:c r="H199" s="69" t="str">
        <x:v>Juniper</x:v>
      </x:c>
      <x:c r="I199" s="69" t="str">
        <x:v>開放的で明るい。相談、再会、親密な会話に合う</x:v>
      </x:c>
      <x:c r="J199" s="69" t="str">
        <x:v>B1–B2</x:v>
      </x:c>
      <x:c r="K199" s="69" t="str">
        <x:v>ふつう</x:v>
      </x:c>
      <x:c r="L199" s="69" t="str">
        <x:v>2〜3文で自然に受け答え</x:v>
      </x:c>
      <x:c r="M199" s="69" t="str">
        <x:v>past narration and present boundaries</x:v>
      </x:c>
      <x:c r="N199" s="69" t="str">
        <x:v>one-to-one; a documentary crew wants; past narration</x:v>
      </x:c>
      <x:c r="O199" s="69" t="str">
        <x:v>public-facing, creative, and emotionally charged</x:v>
      </x:c>
      <x:c r="P199" s="71" t="n">
        <x:v>12</x:v>
      </x:c>
      <x:c r="Q199" s="69" t="str">
        <x:v>confirm the history and decide what it means now</x:v>
      </x:c>
      <x:c r="R199" s="69" t="str">
        <x:v>a documentary crew wants to film the discovery</x:v>
      </x:c>
      <x:c r="S199" s="69" t="str">
        <x:v>Green</x:v>
      </x:c>
      <x:c r="T199" s="69" t="str">
        <x:v>IES_v10_8_02_SCENE_CARDS.md#C18</x:v>
      </x:c>
      <x:c r="U199" s="69" t="str">
        <x:v>ファンレターの送り主</x:v>
      </x:c>
      <x:c r="V199" s="69" t="str">
        <x:v>Actress Nina Park pushes on "a documentary crew wants to film", and the whole exchange turns on past narration and present.</x:v>
      </x:c>
      <x:c r="W199" s="69" t="str">
        <x:v>drama</x:v>
      </x:c>
    </x:row>
    <x:row r="200" ht="44" customHeight="1">
      <x:c r="A200" s="69" t="str">
        <x:v>C19</x:v>
      </x:c>
      <x:c r="B200" s="69" t="str">
        <x:v>芸能・クリエイター</x:v>
      </x:c>
      <x:c r="C200" s="69" t="str">
        <x:v>The Sponsor's Script</x:v>
      </x:c>
      <x:c r="D200" s="69" t="str">
        <x:v>スポンサーの台本を拒む</x:v>
      </x:c>
      <x:c r="E200" s="69" t="str">
        <x:v>Present day; a podcast studio before a live ad read. No supernatural rule is added.</x:v>
      </x:c>
      <x:c r="F200" s="69" t="str">
        <x:v>the host unwilling to make a misleading claim</x:v>
      </x:c>
      <x:c r="G200" s="69" t="str">
        <x:v>Producer Ava Mitchell, accountable for the sponsorship contract</x:v>
      </x:c>
      <x:c r="H200" s="69" t="str">
        <x:v>Juniper</x:v>
      </x:c>
      <x:c r="I200" s="69" t="str">
        <x:v>開放的で明るい。相談、再会、親密な会話に合う</x:v>
      </x:c>
      <x:c r="J200" s="69" t="str">
        <x:v>B1–C1</x:v>
      </x:c>
      <x:c r="K200" s="69" t="str">
        <x:v>ふつう</x:v>
      </x:c>
      <x:c r="L200" s="69" t="str">
        <x:v>2〜3文で自然に受け答え</x:v>
      </x:c>
      <x:c r="M200" s="69" t="str">
        <x:v>ethical persuasion and precise wording</x:v>
      </x:c>
      <x:c r="N200" s="69" t="str">
        <x:v>one-to-one; the live show starts; ethical persuasion</x:v>
      </x:c>
      <x:c r="O200" s="69" t="str">
        <x:v>public-facing, creative, and emotionally charged</x:v>
      </x:c>
      <x:c r="P200" s="71" t="n">
        <x:v>10</x:v>
      </x:c>
      <x:c r="Q200" s="69" t="str">
        <x:v>rewrite the message without breaking trust or the contract</x:v>
      </x:c>
      <x:c r="R200" s="69" t="str">
        <x:v>the live show starts in six minutes</x:v>
      </x:c>
      <x:c r="S200" s="69" t="str">
        <x:v>Green</x:v>
      </x:c>
      <x:c r="T200" s="69" t="str">
        <x:v>IES_v10_8_02_SCENE_CARDS.md#C19</x:v>
      </x:c>
      <x:c r="U200" s="69" t="str">
        <x:v>スポンサーの台本を拒む</x:v>
      </x:c>
      <x:c r="V200" s="69" t="str">
        <x:v>Producer Ava Mitchell pushes on "the live show starts in six", and the whole exchange turns on ethical persuasion and precise.</x:v>
      </x:c>
      <x:c r="W200" s="69" t="str">
        <x:v>drama</x:v>
      </x:c>
    </x:row>
    <x:row r="201" ht="44" customHeight="1">
      <x:c r="A201" s="69" t="str">
        <x:v>C20</x:v>
      </x:c>
      <x:c r="B201" s="69" t="str">
        <x:v>芸能・クリエイター</x:v>
      </x:c>
      <x:c r="C201" s="69" t="str">
        <x:v>The Comeback Rehearsal</x:v>
      </x:c>
      <x:c r="D201" s="69" t="str">
        <x:v>ダンサーの復帰公演</x:v>
      </x:c>
      <x:c r="E201" s="69" t="str">
        <x:v>Present day; a dance studio after an injury-related absence. No supernatural rule is added.</x:v>
      </x:c>
      <x:c r="F201" s="69" t="str">
        <x:v>the choreographer assessing a return</x:v>
      </x:c>
      <x:c r="G201" s="69" t="str">
        <x:v>Dancer Sofia Vale, determined to perform the hardest section</x:v>
      </x:c>
      <x:c r="H201" s="69" t="str">
        <x:v>Juniper</x:v>
      </x:c>
      <x:c r="I201" s="69" t="str">
        <x:v>開放的で明るい。相談、再会、親密な会話に合う</x:v>
      </x:c>
      <x:c r="J201" s="69" t="str">
        <x:v>B1–B2</x:v>
      </x:c>
      <x:c r="K201" s="69" t="str">
        <x:v>ふつう</x:v>
      </x:c>
      <x:c r="L201" s="69" t="str">
        <x:v>2〜3文で自然に受け答え</x:v>
      </x:c>
      <x:c r="M201" s="69" t="str">
        <x:v>feedback, limits, and phased planning</x:v>
      </x:c>
      <x:c r="N201" s="69" t="str">
        <x:v>one-to-one; the understudy decision is; feedback, limits,</x:v>
      </x:c>
      <x:c r="O201" s="69" t="str">
        <x:v>public-facing, creative, and emotionally charged</x:v>
      </x:c>
      <x:c r="P201" s="71" t="n">
        <x:v>12</x:v>
      </x:c>
      <x:c r="Q201" s="69" t="str">
        <x:v>set a safe plan without humiliating her</x:v>
      </x:c>
      <x:c r="R201" s="69" t="str">
        <x:v>the understudy decision is due tonight</x:v>
      </x:c>
      <x:c r="S201" s="69" t="str">
        <x:v>Green</x:v>
      </x:c>
      <x:c r="T201" s="69" t="str">
        <x:v>IES_v10_8_02_SCENE_CARDS.md#C20</x:v>
      </x:c>
      <x:c r="U201" s="69" t="str">
        <x:v>ダンサーの復帰公演</x:v>
      </x:c>
      <x:c r="V201" s="69" t="str">
        <x:v>Dancer Sofia Vale pushes on "the understudy decision is due tonight", and the whole exchange turns on feedback, limits, and phased.</x:v>
      </x:c>
      <x:c r="W201" s="69" t="str">
        <x:v>drama</x:v>
      </x:c>
    </x:row>
    <x:row r="202" ht="44" customHeight="1">
      <x:c r="A202" s="69" t="str">
        <x:v>C21</x:v>
      </x:c>
      <x:c r="B202" s="69" t="str">
        <x:v>芸能・クリエイター</x:v>
      </x:c>
      <x:c r="C202" s="69" t="str">
        <x:v>Splitting the Channel</x:v>
      </x:c>
      <x:c r="D202" s="69" t="str">
        <x:v>共同チャンネルの収益分配</x:v>
      </x:c>
      <x:c r="E202" s="69" t="str">
        <x:v>Present day; a creator agency conference room. No supernatural rule is added.</x:v>
      </x:c>
      <x:c r="F202" s="69" t="str">
        <x:v>one owner of a fast-growing joint channel</x:v>
      </x:c>
      <x:c r="G202" s="69" t="str">
        <x:v>Creator Priya James, your on-screen partner</x:v>
      </x:c>
      <x:c r="H202" s="69" t="str">
        <x:v>Juniper</x:v>
      </x:c>
      <x:c r="I202" s="69" t="str">
        <x:v>開放的で明るい。相談、再会、親密な会話に合う</x:v>
      </x:c>
      <x:c r="J202" s="69" t="str">
        <x:v>B2–C1</x:v>
      </x:c>
      <x:c r="K202" s="69" t="str">
        <x:v>しっかり</x:v>
      </x:c>
      <x:c r="L202" s="69" t="str">
        <x:v>理由説明や交渉まで</x:v>
      </x:c>
      <x:c r="M202" s="69" t="str">
        <x:v>business negotiation and relationship boundaries</x:v>
      </x:c>
      <x:c r="N202" s="69" t="str">
        <x:v>one-to-one; a buyout offer expires; business negotiation</x:v>
      </x:c>
      <x:c r="O202" s="69" t="str">
        <x:v>public-facing, creative, and emotionally charged</x:v>
      </x:c>
      <x:c r="P202" s="71" t="n">
        <x:v>15</x:v>
      </x:c>
      <x:c r="Q202" s="69" t="str">
        <x:v>negotiate pay, ownership, and access to old content</x:v>
      </x:c>
      <x:c r="R202" s="69" t="str">
        <x:v>a buyout offer expires today</x:v>
      </x:c>
      <x:c r="S202" s="69" t="str">
        <x:v>Green</x:v>
      </x:c>
      <x:c r="T202" s="69" t="str">
        <x:v>IES_v10_8_02_SCENE_CARDS.md#C21</x:v>
      </x:c>
      <x:c r="U202" s="69" t="str">
        <x:v>共同チャンネルの収益分配</x:v>
      </x:c>
      <x:c r="V202" s="69" t="str">
        <x:v>Creator Priya James pushes on "a buyout offer expires today", and the whole exchange turns on business negotiation and relationship.</x:v>
      </x:c>
      <x:c r="W202" s="69" t="str">
        <x:v>drama</x:v>
      </x:c>
    </x:row>
    <x:row r="203" ht="44" customHeight="1">
      <x:c r="A203" s="69" t="str">
        <x:v>C22</x:v>
      </x:c>
      <x:c r="B203" s="69" t="str">
        <x:v>芸能・クリエイター</x:v>
      </x:c>
      <x:c r="C203" s="69" t="str">
        <x:v>The Festival Reunion</x:v>
      </x:c>
      <x:c r="D203" s="69" t="str">
        <x:v>映画祭で元相棒と再会</x:v>
      </x:c>
      <x:c r="E203" s="69" t="str">
        <x:v>Present day; a film-festival lounge after years without contact. No supernatural rule is added.</x:v>
      </x:c>
      <x:c r="F203" s="69" t="str">
        <x:v>the filmmaker whose first collaborator is now a competitor</x:v>
      </x:c>
      <x:c r="G203" s="69" t="str">
        <x:v>Director Leila Stone, your former creative partner</x:v>
      </x:c>
      <x:c r="H203" s="69" t="str">
        <x:v>Juniper</x:v>
      </x:c>
      <x:c r="I203" s="69" t="str">
        <x:v>開放的で明るい。相談、再会、親密な会話に合う</x:v>
      </x:c>
      <x:c r="J203" s="69" t="str">
        <x:v>B2–C1</x:v>
      </x:c>
      <x:c r="K203" s="69" t="str">
        <x:v>しっかり</x:v>
      </x:c>
      <x:c r="L203" s="69" t="str">
        <x:v>理由説明や交渉まで</x:v>
      </x:c>
      <x:c r="M203" s="69" t="str">
        <x:v>reunion, accountability, and proposal</x:v>
      </x:c>
      <x:c r="N203" s="69" t="str">
        <x:v>one-to-one; both of your films; reunion, accountability,</x:v>
      </x:c>
      <x:c r="O203" s="69" t="str">
        <x:v>public-facing, creative, and emotionally charged</x:v>
      </x:c>
      <x:c r="P203" s="71" t="n">
        <x:v>15</x:v>
      </x:c>
      <x:c r="Q203" s="69" t="str">
        <x:v>discuss the breakup of the partnership and a possible new project</x:v>
      </x:c>
      <x:c r="R203" s="69" t="str">
        <x:v>both of your films compete for the same award tonight</x:v>
      </x:c>
      <x:c r="S203" s="69" t="str">
        <x:v>Green</x:v>
      </x:c>
      <x:c r="T203" s="69" t="str">
        <x:v>IES_v10_8_02_SCENE_CARDS.md#C22</x:v>
      </x:c>
      <x:c r="U203" s="69" t="str">
        <x:v>映画祭で元相棒と再会</x:v>
      </x:c>
      <x:c r="V203" s="69" t="str">
        <x:v>Director Leila Stone pushes on "both of your films compete for", and the whole exchange turns on reunion, accountability, and proposal.</x:v>
      </x:c>
      <x:c r="W203" s="69" t="str">
        <x:v>drama</x:v>
      </x:c>
    </x:row>
    <x:row r="204" ht="44" customHeight="1">
      <x:c r="A204" s="69" t="str">
        <x:v>C23</x:v>
      </x:c>
      <x:c r="B204" s="69" t="str">
        <x:v>芸能・クリエイター</x:v>
      </x:c>
      <x:c r="C204" s="69" t="str">
        <x:v>The AI Accusation</x:v>
      </x:c>
      <x:c r="D204" s="69" t="str">
        <x:v>AI生成疑惑をかけられた画家</x:v>
      </x:c>
      <x:c r="E204" s="69" t="str">
        <x:v>Present day; an art gallery office after online critics accuse a painting of being AI-generated. No supernatural rule is added.</x:v>
      </x:c>
      <x:c r="F204" s="69" t="str">
        <x:v>the gallery director defending the artist's process</x:v>
      </x:c>
      <x:c r="G204" s="69" t="str">
        <x:v>Painter Odile Fontaine, exhausted and quietly furious</x:v>
      </x:c>
      <x:c r="H204" s="69" t="str">
        <x:v>Juniper</x:v>
      </x:c>
      <x:c r="I204" s="69" t="str">
        <x:v>開放的で明るい。相談、再会、親密な会話に合う</x:v>
      </x:c>
      <x:c r="J204" s="69" t="str">
        <x:v>B1–C1</x:v>
      </x:c>
      <x:c r="K204" s="69" t="str">
        <x:v>ふつう</x:v>
      </x:c>
      <x:c r="L204" s="69" t="str">
        <x:v>2〜3文で自然に受け答え</x:v>
      </x:c>
      <x:c r="M204" s="69" t="str">
        <x:v>crisis strategy and defending authenticity</x:v>
      </x:c>
      <x:c r="N204" s="69" t="str">
        <x:v>one-to-one; the accusation is trending; crisis strategy</x:v>
      </x:c>
      <x:c r="O204" s="69" t="str">
        <x:v>public-facing, creative, and emotionally charged</x:v>
      </x:c>
      <x:c r="P204" s="71" t="n">
        <x:v>12</x:v>
      </x:c>
      <x:c r="Q204" s="69" t="str">
        <x:v>decide how to respond publicly without feeding the controversy</x:v>
      </x:c>
      <x:c r="R204" s="69" t="str">
        <x:v>the accusation is trending faster than any response can be drafted</x:v>
      </x:c>
      <x:c r="S204" s="69" t="str">
        <x:v>Green</x:v>
      </x:c>
      <x:c r="T204" s="69" t="str">
        <x:v>IES_v10_8_02_SCENE_CARDS.md#C23</x:v>
      </x:c>
      <x:c r="U204" s="69" t="str">
        <x:v>AI生成疑惑をかけられた画家</x:v>
      </x:c>
      <x:c r="V204" s="69" t="str">
        <x:v>Painter Odile Fontaine pushes on "the accusation is trending faster than", and the whole exchange turns on crisis strategy and defending.</x:v>
      </x:c>
      <x:c r="W204" s="69" t="str">
        <x:v>drama</x:v>
      </x:c>
    </x:row>
    <x:row r="205" ht="44" customHeight="1">
      <x:c r="A205" s="69" t="str">
        <x:v>C24</x:v>
      </x:c>
      <x:c r="B205" s="69" t="str">
        <x:v>芸能・クリエイター</x:v>
      </x:c>
      <x:c r="C205" s="69" t="str">
        <x:v>The Fan Livestream Limit</x:v>
      </x:c>
      <x:c r="D205" s="69" t="str">
        <x:v>推し活配信の限界</x:v>
      </x:c>
      <x:c r="E205" s="69" t="str">
        <x:v>Present day; a small studio during a fan-funded livestream running long. No supernatural rule is added.</x:v>
      </x:c>
      <x:c r="F205" s="69" t="str">
        <x:v>the host managing an increasingly demanding audience</x:v>
      </x:c>
      <x:c r="G205" s="69" t="str">
        <x:v>Streamer Nadia Okoro, your co-host near burnout</x:v>
      </x:c>
      <x:c r="H205" s="69" t="str">
        <x:v>Juniper</x:v>
      </x:c>
      <x:c r="I205" s="69" t="str">
        <x:v>開放的で明るい。相談、再会、親密な会話に合う</x:v>
      </x:c>
      <x:c r="J205" s="69" t="str">
        <x:v>A2–B2</x:v>
      </x:c>
      <x:c r="K205" s="69" t="str">
        <x:v>やさしい</x:v>
      </x:c>
      <x:c r="L205" s="69" t="str">
        <x:v>短い返事でOK。選択肢や言い換えあり</x:v>
      </x:c>
      <x:c r="M205" s="69" t="str">
        <x:v>boundary setting and audience management</x:v>
      </x:c>
      <x:c r="N205" s="69" t="str">
        <x:v>one-to-one; the donation goal resets; boundary setting</x:v>
      </x:c>
      <x:c r="O205" s="69" t="str">
        <x:v>public-facing, creative, and emotionally charged</x:v>
      </x:c>
      <x:c r="P205" s="71" t="n">
        <x:v>10</x:v>
      </x:c>
      <x:c r="Q205" s="69" t="str">
        <x:v>negotiate a graceful stop without alienating paying supporters</x:v>
      </x:c>
      <x:c r="R205" s="69" t="str">
        <x:v>the donation goal resets the moment you announce an ending</x:v>
      </x:c>
      <x:c r="S205" s="69" t="str">
        <x:v>Green</x:v>
      </x:c>
      <x:c r="T205" s="69" t="str">
        <x:v>IES_v10_8_02_SCENE_CARDS.md#C24</x:v>
      </x:c>
      <x:c r="U205" s="69" t="str">
        <x:v>推し活配信の限界</x:v>
      </x:c>
      <x:c r="V205" s="69" t="str">
        <x:v>Streamer Nadia Okoro pushes on "the donation goal resets the moment", and the whole exchange turns on boundary setting and audience.</x:v>
      </x:c>
      <x:c r="W205" s="69" t="str">
        <x:v>drama</x:v>
      </x:c>
    </x:row>
    <x:row r="206" ht="44" customHeight="1">
      <x:c r="A206" s="69" t="str">
        <x:v>C25</x:v>
      </x:c>
      <x:c r="B206" s="69" t="str">
        <x:v>芸能・クリエイター</x:v>
      </x:c>
      <x:c r="C206" s="69" t="str">
        <x:v>The Dubbing Recast Demand</x:v>
      </x:c>
      <x:c r="D206" s="69" t="str">
        <x:v>俳優の吹き替え交代要求</x:v>
      </x:c>
      <x:c r="E206" s="69" t="str">
        <x:v>Present day; a dubbing studio after fans demand a voice actor be replaced. No supernatural rule is added.</x:v>
      </x:c>
      <x:c r="F206" s="69" t="str">
        <x:v>the director defending the current casting</x:v>
      </x:c>
      <x:c r="G206" s="69" t="str">
        <x:v>Voice Actor Suki Tanaka, hearing the campaign against her for the first time</x:v>
      </x:c>
      <x:c r="H206" s="69" t="str">
        <x:v>Juniper</x:v>
      </x:c>
      <x:c r="I206" s="69" t="str">
        <x:v>開放的で明るい。相談、再会、親密な会話に合う</x:v>
      </x:c>
      <x:c r="J206" s="69" t="str">
        <x:v>B1–C1</x:v>
      </x:c>
      <x:c r="K206" s="69" t="str">
        <x:v>ふつう</x:v>
      </x:c>
      <x:c r="L206" s="69" t="str">
        <x:v>2〜3文で自然に受け答え</x:v>
      </x:c>
      <x:c r="M206" s="69" t="str">
        <x:v>difficult disclosure and creative advocacy</x:v>
      </x:c>
      <x:c r="N206" s="69" t="str">
        <x:v>one-to-one; the studio wants an; difficult disclosure</x:v>
      </x:c>
      <x:c r="O206" s="69" t="str">
        <x:v>public-facing, creative, and emotionally charged</x:v>
      </x:c>
      <x:c r="P206" s="71" t="n">
        <x:v>12</x:v>
      </x:c>
      <x:c r="Q206" s="69" t="str">
        <x:v>decide how to respond to Suki and to the studio pressure</x:v>
      </x:c>
      <x:c r="R206" s="69" t="str">
        <x:v>the studio wants an answer before the next episode records</x:v>
      </x:c>
      <x:c r="S206" s="69" t="str">
        <x:v>Green</x:v>
      </x:c>
      <x:c r="T206" s="69" t="str">
        <x:v>IES_v10_8_02_SCENE_CARDS.md#C25</x:v>
      </x:c>
      <x:c r="U206" s="69" t="str">
        <x:v>俳優の吹き替え交代要求</x:v>
      </x:c>
      <x:c r="V206" s="69" t="str">
        <x:v>Voice Actor Suki Tanaka pushes on "the studio wants an answer before", and the whole exchange turns on difficult disclosure and creative.</x:v>
      </x:c>
      <x:c r="W206" s="69" t="str">
        <x:v>drama</x:v>
      </x:c>
    </x:row>
    <x:row r="207" ht="44" customHeight="1">
      <x:c r="A207" s="69" t="str">
        <x:v>C26</x:v>
      </x:c>
      <x:c r="B207" s="69" t="str">
        <x:v>芸能・クリエイター</x:v>
      </x:c>
      <x:c r="C207" s="69" t="str">
        <x:v>The Co-Manga Split</x:v>
      </x:c>
      <x:c r="D207" s="69" t="str">
        <x:v>共作漫画家の作画分担争い</x:v>
      </x:c>
      <x:c r="E207" s="69" t="str">
        <x:v>Present day; a shared studio during a deadline crunch on a joint series. No supernatural rule is added.</x:v>
      </x:c>
      <x:c r="F207" s="69" t="str">
        <x:v>one half of a two-person manga team</x:v>
      </x:c>
      <x:c r="G207" s="69" t="str">
        <x:v>Artist Reiko Hashimoto, your co-creator who wants equal public credit</x:v>
      </x:c>
      <x:c r="H207" s="69" t="str">
        <x:v>Juniper</x:v>
      </x:c>
      <x:c r="I207" s="69" t="str">
        <x:v>開放的で明るい。相談、再会、親密な会話に合う</x:v>
      </x:c>
      <x:c r="J207" s="69" t="str">
        <x:v>B1–B2</x:v>
      </x:c>
      <x:c r="K207" s="69" t="str">
        <x:v>ふつう</x:v>
      </x:c>
      <x:c r="L207" s="69" t="str">
        <x:v>2〜3文で自然に受け答え</x:v>
      </x:c>
      <x:c r="M207" s="69" t="str">
        <x:v>creative negotiation and fair credit</x:v>
      </x:c>
      <x:c r="N207" s="69" t="str">
        <x:v>one-to-one; the publisher needs a; creative negotiation</x:v>
      </x:c>
      <x:c r="O207" s="69" t="str">
        <x:v>public-facing, creative, and emotionally charged</x:v>
      </x:c>
      <x:c r="P207" s="71" t="n">
        <x:v>12</x:v>
      </x:c>
      <x:c r="Q207" s="69" t="str">
        <x:v>renegotiate credit and workload honestly before the next volume ships</x:v>
      </x:c>
      <x:c r="R207" s="69" t="str">
        <x:v>the publisher needs a signed agreement before the next advance</x:v>
      </x:c>
      <x:c r="S207" s="69" t="str">
        <x:v>Green</x:v>
      </x:c>
      <x:c r="T207" s="69" t="str">
        <x:v>IES_v10_8_02_SCENE_CARDS.md#C26</x:v>
      </x:c>
      <x:c r="U207" s="69" t="str">
        <x:v>共作漫画家の作画分担争い</x:v>
      </x:c>
      <x:c r="V207" s="69" t="str">
        <x:v>Artist Reiko Hashimoto pushes on "the publisher needs a signed agreement", and the whole exchange turns on creative negotiation and fair.</x:v>
      </x:c>
      <x:c r="W207" s="69" t="str">
        <x:v>drama</x:v>
      </x:c>
    </x:row>
    <x:row r="208" ht="44" customHeight="1">
      <x:c r="A208" s="69" t="str">
        <x:v>C27</x:v>
      </x:c>
      <x:c r="B208" s="69" t="str">
        <x:v>芸能・クリエイター</x:v>
      </x:c>
      <x:c r="C208" s="69" t="str">
        <x:v>The Unauthorized Merchandise</x:v>
      </x:c>
      <x:c r="D208" s="69" t="str">
        <x:v>ファンアートの無断商用利用</x:v>
      </x:c>
      <x:c r="E208" s="69" t="str">
        <x:v>Present day; a creator's small office after fan art of your work appears on sold merchandise. No supernatural rule is added.</x:v>
      </x:c>
      <x:c r="F208" s="69" t="str">
        <x:v>the original artist deciding how to respond</x:v>
      </x:c>
      <x:c r="G208" s="69" t="str">
        <x:v>Fan Artist Odile Marchetti, apologetic but financially unable to pay much</x:v>
      </x:c>
      <x:c r="H208" s="69" t="str">
        <x:v>Juniper</x:v>
      </x:c>
      <x:c r="I208" s="69" t="str">
        <x:v>開放的で明るい。相談、再会、親密な会話に合う</x:v>
      </x:c>
      <x:c r="J208" s="69" t="str">
        <x:v>B1–C1</x:v>
      </x:c>
      <x:c r="K208" s="69" t="str">
        <x:v>ふつう</x:v>
      </x:c>
      <x:c r="L208" s="69" t="str">
        <x:v>2〜3文で自然に受け答え</x:v>
      </x:c>
      <x:c r="M208" s="69" t="str">
        <x:v>rights protection with proportionate response</x:v>
      </x:c>
      <x:c r="N208" s="69" t="str">
        <x:v>one-to-one; other fans are already; rights protection</x:v>
      </x:c>
      <x:c r="O208" s="69" t="str">
        <x:v>public-facing, creative, and emotionally charged</x:v>
      </x:c>
      <x:c r="P208" s="71" t="n">
        <x:v>12</x:v>
      </x:c>
      <x:c r="Q208" s="69" t="str">
        <x:v>balance protecting your rights against crushing an admirer</x:v>
      </x:c>
      <x:c r="R208" s="69" t="str">
        <x:v>other fans are already watching how you respond publicly</x:v>
      </x:c>
      <x:c r="S208" s="69" t="str">
        <x:v>Green</x:v>
      </x:c>
      <x:c r="T208" s="69" t="str">
        <x:v>IES_v10_8_02_SCENE_CARDS.md#C27</x:v>
      </x:c>
      <x:c r="U208" s="69" t="str">
        <x:v>ファンアートの無断商用利用</x:v>
      </x:c>
      <x:c r="V208" s="69" t="str">
        <x:v>Fan Artist Odile Marchetti pushes on "other fans are already watching how", and the whole exchange turns on rights protection with proportionate.</x:v>
      </x:c>
      <x:c r="W208" s="69" t="str">
        <x:v>drama</x:v>
      </x:c>
    </x:row>
    <x:row r="209" ht="44" customHeight="1">
      <x:c r="A209" s="69" t="str">
        <x:v>S01</x:v>
      </x:c>
      <x:c r="B209" s="69" t="str">
        <x:v>接客・サービス</x:v>
      </x:c>
      <x:c r="C209" s="69" t="str">
        <x:v>After the Restaurant Closes</x:v>
      </x:c>
      <x:c r="D209" s="69" t="str">
        <x:v>閉店後のレストラン交渉</x:v>
      </x:c>
      <x:c r="E209" s="69" t="str">
        <x:v>Present day; a restaurant dining room after the last guest leaves. No supernatural rule is added.</x:v>
      </x:c>
      <x:c r="F209" s="69" t="str">
        <x:v>the floor manager handling a serious complaint</x:v>
      </x:c>
      <x:c r="G209" s="69" t="str">
        <x:v>Chef Maria Bell, the owner who cooked the disputed meal</x:v>
      </x:c>
      <x:c r="H209" s="69" t="str">
        <x:v>Maple</x:v>
      </x:c>
      <x:c r="I209" s="69" t="str">
        <x:v>朗らかで率直。軽快、日常、サービス場面に合う</x:v>
      </x:c>
      <x:c r="J209" s="69" t="str">
        <x:v>B1–B2</x:v>
      </x:c>
      <x:c r="K209" s="69" t="str">
        <x:v>ふつう</x:v>
      </x:c>
      <x:c r="L209" s="69" t="str">
        <x:v>2〜3文で自然に受け答え</x:v>
      </x:c>
      <x:c r="M209" s="69" t="str">
        <x:v>complaint handling and remedy negotiation</x:v>
      </x:c>
      <x:c r="N209" s="69" t="str">
        <x:v>one-to-one; a public review is; complaint handling</x:v>
      </x:c>
      <x:c r="O209" s="69" t="str">
        <x:v>practical, courteous, and time-sensitive</x:v>
      </x:c>
      <x:c r="P209" s="71" t="n">
        <x:v>10</x:v>
      </x:c>
      <x:c r="Q209" s="69" t="str">
        <x:v>agree on a fair remedy without undermining staff or dismissing the guest</x:v>
      </x:c>
      <x:c r="R209" s="69" t="str">
        <x:v>a public review is already being drafted</x:v>
      </x:c>
      <x:c r="S209" s="69" t="str">
        <x:v>Green</x:v>
      </x:c>
      <x:c r="T209" s="69" t="str">
        <x:v>IES_v10_8_02_SCENE_CARDS.md#S01</x:v>
      </x:c>
      <x:c r="U209" s="69" t="str">
        <x:v>閉店後のレストラン交渉</x:v>
      </x:c>
      <x:c r="V209" s="69" t="str">
        <x:v>Chef Maria Bell pushes on "a public review is already being", and the whole exchange turns on complaint handling and remedy.</x:v>
      </x:c>
      <x:c r="W209" s="69" t="str">
        <x:v>practical</x:v>
      </x:c>
    </x:row>
    <x:row r="210" ht="44" customHeight="1">
      <x:c r="A210" s="69" t="str">
        <x:v>S02</x:v>
      </x:c>
      <x:c r="B210" s="69" t="str">
        <x:v>接客・サービス</x:v>
      </x:c>
      <x:c r="C210" s="69" t="str">
        <x:v>The Double-Booked Suite</x:v>
      </x:c>
      <x:c r="D210" s="69" t="str">
        <x:v>ホテルの部屋が二重予約</x:v>
      </x:c>
      <x:c r="E210" s="69" t="str">
        <x:v>Present day; a hotel lobby during a sold-out convention. No supernatural rule is added.</x:v>
      </x:c>
      <x:c r="F210" s="69" t="str">
        <x:v>the front-desk supervisor solving a booking conflict</x:v>
      </x:c>
      <x:c r="G210" s="69" t="str">
        <x:v>Guest Olivia Grant, whose confirmed room is occupied</x:v>
      </x:c>
      <x:c r="H210" s="69" t="str">
        <x:v>Maple</x:v>
      </x:c>
      <x:c r="I210" s="69" t="str">
        <x:v>朗らかで率直。軽快、日常、サービス場面に合う</x:v>
      </x:c>
      <x:c r="J210" s="69" t="str">
        <x:v>A2–B2</x:v>
      </x:c>
      <x:c r="K210" s="69" t="str">
        <x:v>やさしい</x:v>
      </x:c>
      <x:c r="L210" s="69" t="str">
        <x:v>短い返事でOK。選択肢や言い換えあり</x:v>
      </x:c>
      <x:c r="M210" s="69" t="str">
        <x:v>service recovery and options</x:v>
      </x:c>
      <x:c r="N210" s="69" t="str">
        <x:v>one-to-one; every nearby hotel is; service recovery</x:v>
      </x:c>
      <x:c r="O210" s="69" t="str">
        <x:v>practical, courteous, and time-sensitive</x:v>
      </x:c>
      <x:c r="P210" s="71" t="n">
        <x:v>10</x:v>
      </x:c>
      <x:c r="Q210" s="69" t="str">
        <x:v>verify the mistake and offer realistic alternatives</x:v>
      </x:c>
      <x:c r="R210" s="69" t="str">
        <x:v>every nearby hotel is also full</x:v>
      </x:c>
      <x:c r="S210" s="69" t="str">
        <x:v>Green</x:v>
      </x:c>
      <x:c r="T210" s="69" t="str">
        <x:v>IES_v10_8_02_SCENE_CARDS.md#S02</x:v>
      </x:c>
      <x:c r="U210" s="69" t="str">
        <x:v>ホテルの部屋が二重予約</x:v>
      </x:c>
      <x:c r="V210" s="69" t="str">
        <x:v>Guest Olivia Grant pushes on "every nearby hotel is also full", and the whole exchange turns on service recovery and options.</x:v>
      </x:c>
      <x:c r="W210" s="69" t="str">
        <x:v>practical</x:v>
      </x:c>
    </x:row>
    <x:row r="211" ht="44" customHeight="1">
      <x:c r="A211" s="69" t="str">
        <x:v>S03</x:v>
      </x:c>
      <x:c r="B211" s="69" t="str">
        <x:v>接客・サービス</x:v>
      </x:c>
      <x:c r="C211" s="69" t="str">
        <x:v>The Last Customer at the Cat Cafe</x:v>
      </x:c>
      <x:c r="D211" s="69" t="str">
        <x:v>猫カフェ最後の常連客</x:v>
      </x:c>
      <x:c r="E211" s="69" t="str">
        <x:v>Present day; a neighborhood cat cafe at closing time. No supernatural rule is added.</x:v>
      </x:c>
      <x:c r="F211" s="69" t="str">
        <x:v>the staff member responsible for closing</x:v>
      </x:c>
      <x:c r="G211" s="69" t="str">
        <x:v>Rachel Moore, a regular who seems reluctant to leave</x:v>
      </x:c>
      <x:c r="H211" s="69" t="str">
        <x:v>Maple</x:v>
      </x:c>
      <x:c r="I211" s="69" t="str">
        <x:v>朗らかで率直。軽快、日常、サービス場面に合う</x:v>
      </x:c>
      <x:c r="J211" s="69" t="str">
        <x:v>A2–B1</x:v>
      </x:c>
      <x:c r="K211" s="69" t="str">
        <x:v>やさしい</x:v>
      </x:c>
      <x:c r="L211" s="69" t="str">
        <x:v>短い返事でOK。選択肢や言い換えあり</x:v>
      </x:c>
      <x:c r="M211" s="69" t="str">
        <x:v>tactful boundary setting and offers</x:v>
      </x:c>
      <x:c r="N211" s="69" t="str">
        <x:v>one-to-one; the final train departs; tactful boundary setting</x:v>
      </x:c>
      <x:c r="O211" s="69" t="str">
        <x:v>practical, courteous, and time-sensitive</x:v>
      </x:c>
      <x:c r="P211" s="71" t="n">
        <x:v>10</x:v>
      </x:c>
      <x:c r="Q211" s="69" t="str">
        <x:v>address the closing time while checking whether she needs practical help</x:v>
      </x:c>
      <x:c r="R211" s="69" t="str">
        <x:v>the final train departs soon and heavy rain has begun</x:v>
      </x:c>
      <x:c r="S211" s="69" t="str">
        <x:v>Green</x:v>
      </x:c>
      <x:c r="T211" s="69" t="str">
        <x:v>IES_v10_8_02_SCENE_CARDS.md#S03</x:v>
      </x:c>
      <x:c r="U211" s="69" t="str">
        <x:v>猫カフェ最後の常連客</x:v>
      </x:c>
      <x:c r="V211" s="69" t="str">
        <x:v>Rachel Moore pushes on "the final train departs soon and", and the whole exchange turns on tactful boundary setting and.</x:v>
      </x:c>
      <x:c r="W211" s="69" t="str">
        <x:v>practical</x:v>
      </x:c>
    </x:row>
    <x:row r="212" ht="44" customHeight="1">
      <x:c r="A212" s="69" t="str">
        <x:v>S04</x:v>
      </x:c>
      <x:c r="B212" s="69" t="str">
        <x:v>接客・サービス</x:v>
      </x:c>
      <x:c r="C212" s="69" t="str">
        <x:v>The Wedding Plan Reset</x:v>
      </x:c>
      <x:c r="D212" s="69" t="str">
        <x:v>ウェディングプランの白紙撤回</x:v>
      </x:c>
      <x:c r="E212" s="69" t="str">
        <x:v>Present day; a wedding-planning studio six weeks before the ceremony. No supernatural rule is added.</x:v>
      </x:c>
      <x:c r="F212" s="69" t="str">
        <x:v>the client asking to replace most of the plan</x:v>
      </x:c>
      <x:c r="G212" s="69" t="str">
        <x:v>Planner Isabella Cruz, your assigned coordinator</x:v>
      </x:c>
      <x:c r="H212" s="69" t="str">
        <x:v>Maple</x:v>
      </x:c>
      <x:c r="I212" s="69" t="str">
        <x:v>朗らかで率直。軽快、日常、サービス場面に合う</x:v>
      </x:c>
      <x:c r="J212" s="69" t="str">
        <x:v>B1–B2</x:v>
      </x:c>
      <x:c r="K212" s="69" t="str">
        <x:v>ふつう</x:v>
      </x:c>
      <x:c r="L212" s="69" t="str">
        <x:v>2〜3文で自然に受け答え</x:v>
      </x:c>
      <x:c r="M212" s="69" t="str">
        <x:v>preference clarification and tradeoffs</x:v>
      </x:c>
      <x:c r="N212" s="69" t="str">
        <x:v>one-to-one; major deposits become nonrefundable; preference clarification</x:v>
      </x:c>
      <x:c r="O212" s="69" t="str">
        <x:v>practical, courteous, and time-sensitive</x:v>
      </x:c>
      <x:c r="P212" s="71" t="n">
        <x:v>12</x:v>
      </x:c>
      <x:c r="Q212" s="69" t="str">
        <x:v>explain the new priorities and protect the non-negotiable parts</x:v>
      </x:c>
      <x:c r="R212" s="69" t="str">
        <x:v>major deposits become nonrefundable tonight</x:v>
      </x:c>
      <x:c r="S212" s="69" t="str">
        <x:v>Green</x:v>
      </x:c>
      <x:c r="T212" s="69" t="str">
        <x:v>IES_v10_8_02_SCENE_CARDS.md#S04</x:v>
      </x:c>
      <x:c r="U212" s="69" t="str">
        <x:v>ウェディングプランの白紙撤回</x:v>
      </x:c>
      <x:c r="V212" s="69" t="str">
        <x:v>Planner Isabella Cruz pushes on "major deposits become nonrefundable tonight", and the whole exchange turns on preference clarification and tradeoffs.</x:v>
      </x:c>
      <x:c r="W212" s="69" t="str">
        <x:v>practical</x:v>
      </x:c>
    </x:row>
    <x:row r="213" ht="44" customHeight="1">
      <x:c r="A213" s="69" t="str">
        <x:v>S05</x:v>
      </x:c>
      <x:c r="B213" s="69" t="str">
        <x:v>接客・サービス</x:v>
      </x:c>
      <x:c r="C213" s="69" t="str">
        <x:v>The Haircut Mistake</x:v>
      </x:c>
      <x:c r="D213" s="69" t="str">
        <x:v>美容院で切りすぎた髪</x:v>
      </x:c>
      <x:c r="E213" s="69" t="str">
        <x:v>Present day; a salon chair after a clear misunderstanding. No supernatural rule is added.</x:v>
      </x:c>
      <x:c r="F213" s="69" t="str">
        <x:v>the customer unhappy with the result</x:v>
      </x:c>
      <x:c r="G213" s="69" t="str">
        <x:v>Stylist Emily Park, who realizes the mistake</x:v>
      </x:c>
      <x:c r="H213" s="69" t="str">
        <x:v>Maple</x:v>
      </x:c>
      <x:c r="I213" s="69" t="str">
        <x:v>朗らかで率直。軽快、日常、サービス場面に合う</x:v>
      </x:c>
      <x:c r="J213" s="69" t="str">
        <x:v>A2–B1</x:v>
      </x:c>
      <x:c r="K213" s="69" t="str">
        <x:v>やさしい</x:v>
      </x:c>
      <x:c r="L213" s="69" t="str">
        <x:v>短い返事でOK。選択肢や言い換えあり</x:v>
      </x:c>
      <x:c r="M213" s="69" t="str">
        <x:v>specific complaint and solution negotiation</x:v>
      </x:c>
      <x:c r="N213" s="69" t="str">
        <x:v>one-to-one; the salon is closing; specific complaint</x:v>
      </x:c>
      <x:c r="O213" s="69" t="str">
        <x:v>practical, courteous, and time-sensitive</x:v>
      </x:c>
      <x:c r="P213" s="71" t="n">
        <x:v>8</x:v>
      </x:c>
      <x:c r="Q213" s="69" t="str">
        <x:v>describe the problem calmly and agree on repair, refund, or follow-up</x:v>
      </x:c>
      <x:c r="R213" s="69" t="str">
        <x:v>the salon is closing and an important event is tomorrow</x:v>
      </x:c>
      <x:c r="S213" s="69" t="str">
        <x:v>Green</x:v>
      </x:c>
      <x:c r="T213" s="69" t="str">
        <x:v>IES_v10_8_02_SCENE_CARDS.md#S05</x:v>
      </x:c>
      <x:c r="U213" s="69" t="str">
        <x:v>美容院で切りすぎた髪</x:v>
      </x:c>
      <x:c r="V213" s="69" t="str">
        <x:v>Stylist Emily Park pushes on "the salon is closing and an", and the whole exchange turns on specific complaint and solution.</x:v>
      </x:c>
      <x:c r="W213" s="69" t="str">
        <x:v>practical</x:v>
      </x:c>
    </x:row>
    <x:row r="214" ht="44" customHeight="1">
      <x:c r="A214" s="69" t="str">
        <x:v>S06</x:v>
      </x:c>
      <x:c r="B214" s="69" t="str">
        <x:v>接客・サービス</x:v>
      </x:c>
      <x:c r="C214" s="69" t="str">
        <x:v>The Midnight Regular</x:v>
      </x:c>
      <x:c r="D214" s="69" t="str">
        <x:v>深夜のコンビニ常連客</x:v>
      </x:c>
      <x:c r="E214" s="69" t="str">
        <x:v>Present day; a convenience store during a quiet overnight shift. No supernatural rule is added.</x:v>
      </x:c>
      <x:c r="F214" s="69" t="str">
        <x:v>the clerk who notices a regular acting unusually</x:v>
      </x:c>
      <x:c r="G214" s="69" t="str">
        <x:v>Customer Mina Lewis, who asks to stay inside until morning</x:v>
      </x:c>
      <x:c r="H214" s="69" t="str">
        <x:v>Maple</x:v>
      </x:c>
      <x:c r="I214" s="69" t="str">
        <x:v>朗らかで率直。軽快、日常、サービス場面に合う</x:v>
      </x:c>
      <x:c r="J214" s="69" t="str">
        <x:v>A2–B2</x:v>
      </x:c>
      <x:c r="K214" s="69" t="str">
        <x:v>やさしい</x:v>
      </x:c>
      <x:c r="L214" s="69" t="str">
        <x:v>短い返事でOK。選択肢や言い換えあり</x:v>
      </x:c>
      <x:c r="M214" s="69" t="str">
        <x:v>safety questions and boundary setting</x:v>
      </x:c>
      <x:c r="N214" s="69" t="str">
        <x:v>one-to-one; someone outside appears to; safety questions</x:v>
      </x:c>
      <x:c r="O214" s="69" t="str">
        <x:v>practical, courteous, and time-sensitive</x:v>
      </x:c>
      <x:c r="P214" s="71" t="n">
        <x:v>10</x:v>
      </x:c>
      <x:c r="Q214" s="69" t="str">
        <x:v>clarify the situation, maintain store rules, and offer safe options</x:v>
      </x:c>
      <x:c r="R214" s="69" t="str">
        <x:v>someone outside appears to be waiting for her</x:v>
      </x:c>
      <x:c r="S214" s="69" t="str">
        <x:v>Green</x:v>
      </x:c>
      <x:c r="T214" s="69" t="str">
        <x:v>IES_v10_8_02_SCENE_CARDS.md#S06</x:v>
      </x:c>
      <x:c r="U214" s="69" t="str">
        <x:v>深夜のコンビニ常連客</x:v>
      </x:c>
      <x:c r="V214" s="69" t="str">
        <x:v>Customer Mina Lewis pushes on "someone outside appears to be waiting", and the whole exchange turns on safety questions and boundary.</x:v>
      </x:c>
      <x:c r="W214" s="69" t="str">
        <x:v>practical</x:v>
      </x:c>
    </x:row>
    <x:row r="215" ht="44" customHeight="1">
      <x:c r="A215" s="69" t="str">
        <x:v>S07</x:v>
      </x:c>
      <x:c r="B215" s="69" t="str">
        <x:v>接客・サービス</x:v>
      </x:c>
      <x:c r="C215" s="69" t="str">
        <x:v>The Address That Is Not There</x:v>
      </x:c>
      <x:c r="D215" s="69" t="str">
        <x:v>配達先が存在しない</x:v>
      </x:c>
      <x:c r="E215" s="69" t="str">
        <x:v>Present day; an apartment block where the listed unit number does not exist. No supernatural rule is added.</x:v>
      </x:c>
      <x:c r="F215" s="69" t="str">
        <x:v>the courier responsible for a time-sensitive package</x:v>
      </x:c>
      <x:c r="G215" s="69" t="str">
        <x:v>Dispatcher Leah Kim, guiding you by phone</x:v>
      </x:c>
      <x:c r="H215" s="69" t="str">
        <x:v>Maple</x:v>
      </x:c>
      <x:c r="I215" s="69" t="str">
        <x:v>朗らかで率直。軽快、日常、サービス場面に合う</x:v>
      </x:c>
      <x:c r="J215" s="69" t="str">
        <x:v>A2–B1</x:v>
      </x:c>
      <x:c r="K215" s="69" t="str">
        <x:v>やさしい</x:v>
      </x:c>
      <x:c r="L215" s="69" t="str">
        <x:v>短い返事でOK。選択肢や言い換えあり</x:v>
      </x:c>
      <x:c r="M215" s="69" t="str">
        <x:v>location clarification and procedural decisions</x:v>
      </x:c>
      <x:c r="N215" s="69" t="str">
        <x:v>one-to-one; the package requires a; location clarification</x:v>
      </x:c>
      <x:c r="O215" s="69" t="str">
        <x:v>practical, courteous, and time-sensitive</x:v>
      </x:c>
      <x:c r="P215" s="71" t="n">
        <x:v>8</x:v>
      </x:c>
      <x:c r="Q215" s="69" t="str">
        <x:v>verify the address and decide whether the delivery can be completed safely</x:v>
      </x:c>
      <x:c r="R215" s="69" t="str">
        <x:v>the package requires a signature within twenty minutes</x:v>
      </x:c>
      <x:c r="S215" s="69" t="str">
        <x:v>Green</x:v>
      </x:c>
      <x:c r="T215" s="69" t="str">
        <x:v>IES_v10_8_02_SCENE_CARDS.md#S07</x:v>
      </x:c>
      <x:c r="U215" s="69" t="str">
        <x:v>配達先が存在しない</x:v>
      </x:c>
      <x:c r="V215" s="69" t="str">
        <x:v>Dispatcher Leah Kim pushes on "the package requires a signature within", and the whole exchange turns on location clarification and procedural.</x:v>
      </x:c>
      <x:c r="W215" s="69" t="str">
        <x:v>practical</x:v>
      </x:c>
    </x:row>
    <x:row r="216" ht="44" customHeight="1">
      <x:c r="A216" s="69" t="str">
        <x:v>S08</x:v>
      </x:c>
      <x:c r="B216" s="69" t="str">
        <x:v>接客・サービス</x:v>
      </x:c>
      <x:c r="C216" s="69" t="str">
        <x:v>The Dress Code Decision</x:v>
      </x:c>
      <x:c r="D216" s="69" t="str">
        <x:v>高級店のドレスコード</x:v>
      </x:c>
      <x:c r="E216" s="69" t="str">
        <x:v>Present day; a fine-dining entrance during a special anniversary booking. No supernatural rule is added.</x:v>
      </x:c>
      <x:c r="F216" s="69" t="str">
        <x:v>the host deciding whether to admit a guest</x:v>
      </x:c>
      <x:c r="G216" s="69" t="str">
        <x:v>Guest Ana Rivera, whose clothing does not match the stated rule</x:v>
      </x:c>
      <x:c r="H216" s="69" t="str">
        <x:v>Maple</x:v>
      </x:c>
      <x:c r="I216" s="69" t="str">
        <x:v>朗らかで率直。軽快、日常、サービス場面に合う</x:v>
      </x:c>
      <x:c r="J216" s="69" t="str">
        <x:v>B1–B2</x:v>
      </x:c>
      <x:c r="K216" s="69" t="str">
        <x:v>ふつう</x:v>
      </x:c>
      <x:c r="L216" s="69" t="str">
        <x:v>2〜3文で自然に受け答え</x:v>
      </x:c>
      <x:c r="M216" s="69" t="str">
        <x:v>polite policy explanation and alternatives</x:v>
      </x:c>
      <x:c r="N216" s="69" t="str">
        <x:v>one-to-one; other guests are watching; polite policy explanation</x:v>
      </x:c>
      <x:c r="O216" s="69" t="str">
        <x:v>practical, courteous, and time-sensitive</x:v>
      </x:c>
      <x:c r="P216" s="71" t="n">
        <x:v>10</x:v>
      </x:c>
      <x:c r="Q216" s="69" t="str">
        <x:v>apply the policy without humiliation and offer an immediate solution</x:v>
      </x:c>
      <x:c r="R216" s="69" t="str">
        <x:v>other guests are watching and the reservation window is closing</x:v>
      </x:c>
      <x:c r="S216" s="69" t="str">
        <x:v>Green</x:v>
      </x:c>
      <x:c r="T216" s="69" t="str">
        <x:v>IES_v10_8_02_SCENE_CARDS.md#S08</x:v>
      </x:c>
      <x:c r="U216" s="69" t="str">
        <x:v>高級店のドレスコード</x:v>
      </x:c>
      <x:c r="V216" s="69" t="str">
        <x:v>Guest Ana Rivera pushes on "other guests are watching and the", and the whole exchange turns on polite policy explanation and.</x:v>
      </x:c>
      <x:c r="W216" s="69" t="str">
        <x:v>practical</x:v>
      </x:c>
    </x:row>
    <x:row r="217" ht="44" customHeight="1">
      <x:c r="A217" s="69" t="str">
        <x:v>S09</x:v>
      </x:c>
      <x:c r="B217" s="69" t="str">
        <x:v>接客・サービス</x:v>
      </x:c>
      <x:c r="C217" s="69" t="str">
        <x:v>The Tour Guide Is Challenged</x:v>
      </x:c>
      <x:c r="D217" s="69" t="str">
        <x:v>ツアーガイドの歴史訂正</x:v>
      </x:c>
      <x:c r="E217" s="69" t="str">
        <x:v>Present day; a museum tour after a visitor disputes a historical claim. No supernatural rule is added.</x:v>
      </x:c>
      <x:c r="F217" s="69" t="str">
        <x:v>the guide responsible for the group</x:v>
      </x:c>
      <x:c r="G217" s="69" t="str">
        <x:v>Dr. Victoria Lane, a specialist in the subject</x:v>
      </x:c>
      <x:c r="H217" s="69" t="str">
        <x:v>Maple</x:v>
      </x:c>
      <x:c r="I217" s="69" t="str">
        <x:v>朗らかで率直。軽快、日常、サービス場面に合う</x:v>
      </x:c>
      <x:c r="J217" s="69" t="str">
        <x:v>B1–C1</x:v>
      </x:c>
      <x:c r="K217" s="69" t="str">
        <x:v>ふつう</x:v>
      </x:c>
      <x:c r="L217" s="69" t="str">
        <x:v>2〜3文で自然に受け答え</x:v>
      </x:c>
      <x:c r="M217" s="69" t="str">
        <x:v>responding to expert correction</x:v>
      </x:c>
      <x:c r="N217" s="69" t="str">
        <x:v>one-to-one; the group is recording; responding to expert correction</x:v>
      </x:c>
      <x:c r="O217" s="69" t="str">
        <x:v>practical, courteous, and time-sensitive</x:v>
      </x:c>
      <x:c r="P217" s="71" t="n">
        <x:v>10</x:v>
      </x:c>
      <x:c r="Q217" s="69" t="str">
        <x:v>acknowledge uncertainty and correct the tour without losing authority</x:v>
      </x:c>
      <x:c r="R217" s="69" t="str">
        <x:v>the group is recording the exchange</x:v>
      </x:c>
      <x:c r="S217" s="69" t="str">
        <x:v>Green</x:v>
      </x:c>
      <x:c r="T217" s="69" t="str">
        <x:v>IES_v10_8_02_SCENE_CARDS.md#S09</x:v>
      </x:c>
      <x:c r="U217" s="69" t="str">
        <x:v>ツアーガイドの歴史訂正</x:v>
      </x:c>
      <x:c r="V217" s="69" t="str">
        <x:v>Dr. Victoria Lane pushes on "the group is recording the exchange", and the whole exchange turns on responding to expert correction.</x:v>
      </x:c>
      <x:c r="W217" s="69" t="str">
        <x:v>practical</x:v>
      </x:c>
    </x:row>
    <x:row r="218" ht="44" customHeight="1">
      <x:c r="A218" s="69" t="str">
        <x:v>S10</x:v>
      </x:c>
      <x:c r="B218" s="69" t="str">
        <x:v>接客・サービス</x:v>
      </x:c>
      <x:c r="C218" s="69" t="str">
        <x:v>The Last Flight Home</x:v>
      </x:c>
      <x:c r="D218" s="69" t="str">
        <x:v>空港ラウンジの最終便</x:v>
      </x:c>
      <x:c r="E218" s="69" t="str">
        <x:v>Present day; an airline lounge during mass cancellations. No supernatural rule is added.</x:v>
      </x:c>
      <x:c r="F218" s="69" t="str">
        <x:v>the service agent helping one stranded traveler</x:v>
      </x:c>
      <x:c r="G218" s="69" t="str">
        <x:v>Passenger Nora Ellis, traveling for an urgent family reason</x:v>
      </x:c>
      <x:c r="H218" s="69" t="str">
        <x:v>Maple</x:v>
      </x:c>
      <x:c r="I218" s="69" t="str">
        <x:v>朗らかで率直。軽快、日常、サービス場面に合う</x:v>
      </x:c>
      <x:c r="J218" s="69" t="str">
        <x:v>A2–B2</x:v>
      </x:c>
      <x:c r="K218" s="69" t="str">
        <x:v>やさしい</x:v>
      </x:c>
      <x:c r="L218" s="69" t="str">
        <x:v>短い返事でOK。選択肢や言い換えあり</x:v>
      </x:c>
      <x:c r="M218" s="69" t="str">
        <x:v>travel options and expectation setting</x:v>
      </x:c>
      <x:c r="N218" s="69" t="str">
        <x:v>one-to-one; the final standby list; travel options</x:v>
      </x:c>
      <x:c r="O218" s="69" t="str">
        <x:v>practical, courteous, and time-sensitive</x:v>
      </x:c>
      <x:c r="P218" s="71" t="n">
        <x:v>12</x:v>
      </x:c>
      <x:c r="Q218" s="69" t="str">
        <x:v>find a workable route and explain what the airline can and cannot provide</x:v>
      </x:c>
      <x:c r="R218" s="69" t="str">
        <x:v>the final standby list closes in ten minutes</x:v>
      </x:c>
      <x:c r="S218" s="69" t="str">
        <x:v>Green</x:v>
      </x:c>
      <x:c r="T218" s="69" t="str">
        <x:v>IES_v10_8_02_SCENE_CARDS.md#S10</x:v>
      </x:c>
      <x:c r="U218" s="69" t="str">
        <x:v>空港ラウンジの最終便</x:v>
      </x:c>
      <x:c r="V218" s="69" t="str">
        <x:v>Passenger Nora Ellis pushes on "the final standby list closes in", and the whole exchange turns on travel options and expectation.</x:v>
      </x:c>
      <x:c r="W218" s="69" t="str">
        <x:v>practical</x:v>
      </x:c>
    </x:row>
    <x:row r="219" ht="44" customHeight="1">
      <x:c r="A219" s="69" t="str">
        <x:v>S11</x:v>
      </x:c>
      <x:c r="B219" s="69" t="str">
        <x:v>接客・サービス</x:v>
      </x:c>
      <x:c r="C219" s="69" t="str">
        <x:v>The Stain Before the Ceremony</x:v>
      </x:c>
      <x:c r="D219" s="69" t="str">
        <x:v>貸衣装の汚れ</x:v>
      </x:c>
      <x:c r="E219" s="69" t="str">
        <x:v>Present day; a formalwear rental shop shortly before a ceremony. No supernatural rule is added.</x:v>
      </x:c>
      <x:c r="F219" s="69" t="str">
        <x:v>the customer discovering damage on a reserved outfit</x:v>
      </x:c>
      <x:c r="G219" s="69" t="str">
        <x:v>Manager Sofia Webb, reviewing responsibility for the stain</x:v>
      </x:c>
      <x:c r="H219" s="69" t="str">
        <x:v>Breeze</x:v>
      </x:c>
      <x:c r="I219" s="69" t="str">
        <x:v>表情豊かで真剣。緊迫、怪異、冒険に合う</x:v>
      </x:c>
      <x:c r="J219" s="69" t="str">
        <x:v>A2–B1</x:v>
      </x:c>
      <x:c r="K219" s="69" t="str">
        <x:v>やさしい</x:v>
      </x:c>
      <x:c r="L219" s="69" t="str">
        <x:v>短い返事でOK。選択肢や言い換えあり</x:v>
      </x:c>
      <x:c r="M219" s="69" t="str">
        <x:v>evidence, apology, and urgent alternatives</x:v>
      </x:c>
      <x:c r="N219" s="69" t="str">
        <x:v>one-to-one; the ceremony starts in; evidence, apology,</x:v>
      </x:c>
      <x:c r="O219" s="69" t="str">
        <x:v>practical, courteous, and time-sensitive</x:v>
      </x:c>
      <x:c r="P219" s="71" t="n">
        <x:v>10</x:v>
      </x:c>
      <x:c r="Q219" s="69" t="str">
        <x:v>establish when it occurred and secure a replacement</x:v>
      </x:c>
      <x:c r="R219" s="69" t="str">
        <x:v>the ceremony starts in ninety minutes</x:v>
      </x:c>
      <x:c r="S219" s="69" t="str">
        <x:v>Green</x:v>
      </x:c>
      <x:c r="T219" s="69" t="str">
        <x:v>IES_v10_8_02_SCENE_CARDS.md#S11</x:v>
      </x:c>
      <x:c r="U219" s="69" t="str">
        <x:v>貸衣装の汚れ</x:v>
      </x:c>
      <x:c r="V219" s="69" t="str">
        <x:v>Manager Sofia Webb pushes on "the ceremony starts in ninety minutes", and the whole exchange turns on evidence, apology, and urgent.</x:v>
      </x:c>
      <x:c r="W219" s="69" t="str">
        <x:v>practical</x:v>
      </x:c>
    </x:row>
    <x:row r="220" ht="44" customHeight="1">
      <x:c r="A220" s="69" t="str">
        <x:v>S12</x:v>
      </x:c>
      <x:c r="B220" s="69" t="str">
        <x:v>接客・サービス</x:v>
      </x:c>
      <x:c r="C220" s="69" t="str">
        <x:v>The Cold Room at the Inn</x:v>
      </x:c>
      <x:c r="D220" s="69" t="str">
        <x:v>旅館の一室だけが寒い</x:v>
      </x:c>
      <x:c r="E220" s="69" t="str">
        <x:v>Present day; a traditional inn during a winter holiday. No supernatural rule is added.</x:v>
      </x:c>
      <x:c r="F220" s="69" t="str">
        <x:v>the guest reporting an unresolved room problem</x:v>
      </x:c>
      <x:c r="G220" s="69" t="str">
        <x:v>Hostess Yui Carter, personally handling the complaint</x:v>
      </x:c>
      <x:c r="H220" s="69" t="str">
        <x:v>Maple</x:v>
      </x:c>
      <x:c r="I220" s="69" t="str">
        <x:v>朗らかで率直。軽快、日常、サービス場面に合う</x:v>
      </x:c>
      <x:c r="J220" s="69" t="str">
        <x:v>A2–B1</x:v>
      </x:c>
      <x:c r="K220" s="69" t="str">
        <x:v>やさしい</x:v>
      </x:c>
      <x:c r="L220" s="69" t="str">
        <x:v>短い返事でOK。選択肢や言い換えあり</x:v>
      </x:c>
      <x:c r="M220" s="69" t="str">
        <x:v>service follow-up and compromise</x:v>
      </x:c>
      <x:c r="N220" s="69" t="str">
        <x:v>one-to-one; no equivalent room is; service follow-up</x:v>
      </x:c>
      <x:c r="O220" s="69" t="str">
        <x:v>practical, courteous, and time-sensitive</x:v>
      </x:c>
      <x:c r="P220" s="71" t="n">
        <x:v>10</x:v>
      </x:c>
      <x:c r="Q220" s="69" t="str">
        <x:v>explain what has already been tried and agree on a comfortable solution</x:v>
      </x:c>
      <x:c r="R220" s="69" t="str">
        <x:v>no equivalent room is available tonight</x:v>
      </x:c>
      <x:c r="S220" s="69" t="str">
        <x:v>Green</x:v>
      </x:c>
      <x:c r="T220" s="69" t="str">
        <x:v>IES_v10_8_02_SCENE_CARDS.md#S12</x:v>
      </x:c>
      <x:c r="U220" s="69" t="str">
        <x:v>旅館の一室だけが寒い</x:v>
      </x:c>
      <x:c r="V220" s="69" t="str">
        <x:v>Hostess Yui Carter pushes on "no equivalent room is available tonight", and the whole exchange turns on service follow-up and compromise.</x:v>
      </x:c>
      <x:c r="W220" s="69" t="str">
        <x:v>practical</x:v>
      </x:c>
    </x:row>
    <x:row r="221" ht="44" customHeight="1">
      <x:c r="A221" s="69" t="str">
        <x:v>S13</x:v>
      </x:c>
      <x:c r="B221" s="69" t="str">
        <x:v>接客・サービス</x:v>
      </x:c>
      <x:c r="C221" s="69" t="str">
        <x:v>The Birthday Without a Booking</x:v>
      </x:c>
      <x:c r="D221" s="69" t="str">
        <x:v>予約のない誕生日席</x:v>
      </x:c>
      <x:c r="E221" s="69" t="str">
        <x:v>Present day; a busy restaurant where a family expects a celebration setup. No supernatural rule is added.</x:v>
      </x:c>
      <x:c r="F221" s="69" t="str">
        <x:v>the manager dealing with an unrecorded request</x:v>
      </x:c>
      <x:c r="G221" s="69" t="str">
        <x:v>Guest Lily Foster, certain she arranged everything by phone</x:v>
      </x:c>
      <x:c r="H221" s="69" t="str">
        <x:v>Maple</x:v>
      </x:c>
      <x:c r="I221" s="69" t="str">
        <x:v>朗らかで率直。軽快、日常、サービス場面に合う</x:v>
      </x:c>
      <x:c r="J221" s="69" t="str">
        <x:v>A2–B1</x:v>
      </x:c>
      <x:c r="K221" s="69" t="str">
        <x:v>やさしい</x:v>
      </x:c>
      <x:c r="L221" s="69" t="str">
        <x:v>短い返事でOK。選択肢や言い換えあり</x:v>
      </x:c>
      <x:c r="M221" s="69" t="str">
        <x:v>verification and creative service recovery</x:v>
      </x:c>
      <x:c r="N221" s="69" t="str">
        <x:v>one-to-one; the birthday guest arrives; verification</x:v>
      </x:c>
      <x:c r="O221" s="69" t="str">
        <x:v>practical, courteous, and time-sensitive</x:v>
      </x:c>
      <x:c r="P221" s="71" t="n">
        <x:v>10</x:v>
      </x:c>
      <x:c r="Q221" s="69" t="str">
        <x:v>confirm the facts and create a modest alternative quickly</x:v>
      </x:c>
      <x:c r="R221" s="69" t="str">
        <x:v>the birthday guest arrives in fifteen minutes</x:v>
      </x:c>
      <x:c r="S221" s="69" t="str">
        <x:v>Green</x:v>
      </x:c>
      <x:c r="T221" s="69" t="str">
        <x:v>IES_v10_8_02_SCENE_CARDS.md#S13</x:v>
      </x:c>
      <x:c r="U221" s="69" t="str">
        <x:v>予約のない誕生日席</x:v>
      </x:c>
      <x:c r="V221" s="69" t="str">
        <x:v>Guest Lily Foster pushes on "the birthday guest arrives in fifteen", and the whole exchange turns on verification and creative service.</x:v>
      </x:c>
      <x:c r="W221" s="69" t="str">
        <x:v>practical</x:v>
      </x:c>
    </x:row>
    <x:row r="222" ht="44" customHeight="1">
      <x:c r="A222" s="69" t="str">
        <x:v>S14</x:v>
      </x:c>
      <x:c r="B222" s="69" t="str">
        <x:v>接客・サービス</x:v>
      </x:c>
      <x:c r="C222" s="69" t="str">
        <x:v>The Phone Repair Risk</x:v>
      </x:c>
      <x:c r="D222" s="69" t="str">
        <x:v>修理店の消えた写真</x:v>
      </x:c>
      <x:c r="E222" s="69" t="str">
        <x:v>Present day; a device-repair counter after data is found missing. No supernatural rule is added.</x:v>
      </x:c>
      <x:c r="F222" s="69" t="str">
        <x:v>the customer whose phone contained irreplaceable photos</x:v>
      </x:c>
      <x:c r="G222" s="69" t="str">
        <x:v>Technician Maya Collins, the person who performed the repair</x:v>
      </x:c>
      <x:c r="H222" s="69" t="str">
        <x:v>Maple</x:v>
      </x:c>
      <x:c r="I222" s="69" t="str">
        <x:v>朗らかで率直。軽快、日常、サービス場面に合う</x:v>
      </x:c>
      <x:c r="J222" s="69" t="str">
        <x:v>B1–B2</x:v>
      </x:c>
      <x:c r="K222" s="69" t="str">
        <x:v>ふつう</x:v>
      </x:c>
      <x:c r="L222" s="69" t="str">
        <x:v>2〜3文で自然に受け答え</x:v>
      </x:c>
      <x:c r="M222" s="69" t="str">
        <x:v>technical problem reporting and uncertainty</x:v>
      </x:c>
      <x:c r="N222" s="69" t="str">
        <x:v>one-to-one; the backup account may; technical problem reporting</x:v>
      </x:c>
      <x:c r="O222" s="69" t="str">
        <x:v>practical, courteous, and time-sensitive</x:v>
      </x:c>
      <x:c r="P222" s="71" t="n">
        <x:v>12</x:v>
      </x:c>
      <x:c r="Q222" s="69" t="str">
        <x:v>determine what happened and discuss recovery without false promises</x:v>
      </x:c>
      <x:c r="R222" s="69" t="str">
        <x:v>the backup account may lock after one more attempt</x:v>
      </x:c>
      <x:c r="S222" s="69" t="str">
        <x:v>Green</x:v>
      </x:c>
      <x:c r="T222" s="69" t="str">
        <x:v>IES_v10_8_02_SCENE_CARDS.md#S14</x:v>
      </x:c>
      <x:c r="U222" s="69" t="str">
        <x:v>修理店の消えた写真</x:v>
      </x:c>
      <x:c r="V222" s="69" t="str">
        <x:v>Technician Maya Collins pushes on "the backup account may lock after", and the whole exchange turns on technical problem reporting and.</x:v>
      </x:c>
      <x:c r="W222" s="69" t="str">
        <x:v>practical</x:v>
      </x:c>
    </x:row>
    <x:row r="223" ht="44" customHeight="1">
      <x:c r="A223" s="69" t="str">
        <x:v>S15</x:v>
      </x:c>
      <x:c r="B223" s="69" t="str">
        <x:v>接客・サービス</x:v>
      </x:c>
      <x:c r="C223" s="69" t="str">
        <x:v>The Apartment Disclosure</x:v>
      </x:c>
      <x:c r="D223" s="69" t="str">
        <x:v>不動産内見の告知漏れ</x:v>
      </x:c>
      <x:c r="E223" s="69" t="str">
        <x:v>Present day; an apartment viewing after a serious building issue is mentioned casually. No supernatural rule is added.</x:v>
      </x:c>
      <x:c r="F223" s="69" t="str">
        <x:v>the prospective tenant deciding whether to proceed</x:v>
      </x:c>
      <x:c r="G223" s="69" t="str">
        <x:v>Agent Chloe Bennett, eager to close the lease</x:v>
      </x:c>
      <x:c r="H223" s="69" t="str">
        <x:v>Maple</x:v>
      </x:c>
      <x:c r="I223" s="69" t="str">
        <x:v>朗らかで率直。軽快、日常、サービス場面に合う</x:v>
      </x:c>
      <x:c r="J223" s="69" t="str">
        <x:v>B1–B2</x:v>
      </x:c>
      <x:c r="K223" s="69" t="str">
        <x:v>ふつう</x:v>
      </x:c>
      <x:c r="L223" s="69" t="str">
        <x:v>2〜3文で自然に受け答え</x:v>
      </x:c>
      <x:c r="M223" s="69" t="str">
        <x:v>housing questions and resisting pressure</x:v>
      </x:c>
      <x:c r="N223" s="69" t="str">
        <x:v>one-to-one; another applicant is ready; housing questions</x:v>
      </x:c>
      <x:c r="O223" s="69" t="str">
        <x:v>practical, courteous, and time-sensitive</x:v>
      </x:c>
      <x:c r="P223" s="71" t="n">
        <x:v>12</x:v>
      </x:c>
      <x:c r="Q223" s="69" t="str">
        <x:v>ask precise questions and require written clarification</x:v>
      </x:c>
      <x:c r="R223" s="69" t="str">
        <x:v>another applicant is ready to sign today</x:v>
      </x:c>
      <x:c r="S223" s="69" t="str">
        <x:v>Green</x:v>
      </x:c>
      <x:c r="T223" s="69" t="str">
        <x:v>IES_v10_8_02_SCENE_CARDS.md#S15</x:v>
      </x:c>
      <x:c r="U223" s="69" t="str">
        <x:v>不動産内見の告知漏れ</x:v>
      </x:c>
      <x:c r="V223" s="69" t="str">
        <x:v>Agent Chloe Bennett pushes on "another applicant is ready to sign", and the whole exchange turns on housing questions and resisting.</x:v>
      </x:c>
      <x:c r="W223" s="69" t="str">
        <x:v>practical</x:v>
      </x:c>
    </x:row>
    <x:row r="224" ht="44" customHeight="1">
      <x:c r="A224" s="69" t="str">
        <x:v>S16</x:v>
      </x:c>
      <x:c r="B224" s="69" t="str">
        <x:v>接客・サービス</x:v>
      </x:c>
      <x:c r="C224" s="69" t="str">
        <x:v>The Membership Renewal</x:v>
      </x:c>
      <x:c r="D224" s="69" t="str">
        <x:v>ジム退会の自動更新</x:v>
      </x:c>
      <x:c r="E224" s="69" t="str">
        <x:v>Present day; a fitness-club service desk. No supernatural rule is added.</x:v>
      </x:c>
      <x:c r="F224" s="69" t="str">
        <x:v>the member disputing an automatic annual charge</x:v>
      </x:c>
      <x:c r="G224" s="69" t="str">
        <x:v>Manager Naomi Reed, authorized to review the case</x:v>
      </x:c>
      <x:c r="H224" s="69" t="str">
        <x:v>Maple</x:v>
      </x:c>
      <x:c r="I224" s="69" t="str">
        <x:v>朗らかで率直。軽快、日常、サービス場面に合う</x:v>
      </x:c>
      <x:c r="J224" s="69" t="str">
        <x:v>A2–B1</x:v>
      </x:c>
      <x:c r="K224" s="69" t="str">
        <x:v>やさしい</x:v>
      </x:c>
      <x:c r="L224" s="69" t="str">
        <x:v>短い返事でOK。選択肢や言い換えあり</x:v>
      </x:c>
      <x:c r="M224" s="69" t="str">
        <x:v>consumer complaint and policy negotiation</x:v>
      </x:c>
      <x:c r="N224" s="69" t="str">
        <x:v>one-to-one; the charge becomes final; consumer complaint</x:v>
      </x:c>
      <x:c r="O224" s="69" t="str">
        <x:v>practical, courteous, and time-sensitive</x:v>
      </x:c>
      <x:c r="P224" s="71" t="n">
        <x:v>10</x:v>
      </x:c>
      <x:c r="Q224" s="69" t="str">
        <x:v>explain the cancellation attempt and request a clear remedy</x:v>
      </x:c>
      <x:c r="R224" s="69" t="str">
        <x:v>the charge becomes final after today's accounting close</x:v>
      </x:c>
      <x:c r="S224" s="69" t="str">
        <x:v>Green</x:v>
      </x:c>
      <x:c r="T224" s="69" t="str">
        <x:v>IES_v10_8_02_SCENE_CARDS.md#S16</x:v>
      </x:c>
      <x:c r="U224" s="69" t="str">
        <x:v>ジム退会の自動更新</x:v>
      </x:c>
      <x:c r="V224" s="69" t="str">
        <x:v>Manager Naomi Reed pushes on "the charge becomes final after today's", and the whole exchange turns on consumer complaint and policy.</x:v>
      </x:c>
      <x:c r="W224" s="69" t="str">
        <x:v>practical</x:v>
      </x:c>
    </x:row>
    <x:row r="225" ht="44" customHeight="1">
      <x:c r="A225" s="69" t="str">
        <x:v>S17</x:v>
      </x:c>
      <x:c r="B225" s="69" t="str">
        <x:v>接客・サービス</x:v>
      </x:c>
      <x:c r="C225" s="69" t="str">
        <x:v>The Final Fitting</x:v>
      </x:c>
      <x:c r="D225" s="69" t="str">
        <x:v>オーダーメイド靴の最終調整</x:v>
      </x:c>
      <x:c r="E225" s="69" t="str">
        <x:v>Present day; a shoemaker's workshop before an important journey. No supernatural rule is added.</x:v>
      </x:c>
      <x:c r="F225" s="69" t="str">
        <x:v>the customer testing custom shoes</x:v>
      </x:c>
      <x:c r="G225" s="69" t="str">
        <x:v>Craftswoman Elena Rossi, who made the pair by hand</x:v>
      </x:c>
      <x:c r="H225" s="69" t="str">
        <x:v>Maple</x:v>
      </x:c>
      <x:c r="I225" s="69" t="str">
        <x:v>朗らかで率直。軽快、日常、サービス場面に合う</x:v>
      </x:c>
      <x:c r="J225" s="69" t="str">
        <x:v>A2–B2</x:v>
      </x:c>
      <x:c r="K225" s="69" t="str">
        <x:v>やさしい</x:v>
      </x:c>
      <x:c r="L225" s="69" t="str">
        <x:v>短い返事でOK。選択肢や言い換えあり</x:v>
      </x:c>
      <x:c r="M225" s="69" t="str">
        <x:v>precise physical description and tradeoffs</x:v>
      </x:c>
      <x:c r="N225" s="69" t="str">
        <x:v>one-to-one; a major alteration may; precise physical description</x:v>
      </x:c>
      <x:c r="O225" s="69" t="str">
        <x:v>practical, courteous, and time-sensitive</x:v>
      </x:c>
      <x:c r="P225" s="71" t="n">
        <x:v>10</x:v>
      </x:c>
      <x:c r="Q225" s="69" t="str">
        <x:v>describe subtle discomfort and agree on the safest adjustment</x:v>
      </x:c>
      <x:c r="R225" s="69" t="str">
        <x:v>a major alteration may miss the departure date</x:v>
      </x:c>
      <x:c r="S225" s="69" t="str">
        <x:v>Green</x:v>
      </x:c>
      <x:c r="T225" s="69" t="str">
        <x:v>IES_v10_8_02_SCENE_CARDS.md#S17</x:v>
      </x:c>
      <x:c r="U225" s="69" t="str">
        <x:v>オーダーメイド靴の最終調整</x:v>
      </x:c>
      <x:c r="V225" s="69" t="str">
        <x:v>Craftswoman Elena Rossi pushes on "a major alteration may miss the", and the whole exchange turns on precise physical description and.</x:v>
      </x:c>
      <x:c r="W225" s="69" t="str">
        <x:v>practical</x:v>
      </x:c>
    </x:row>
    <x:row r="226" ht="44" customHeight="1">
      <x:c r="A226" s="69" t="str">
        <x:v>S18</x:v>
      </x:c>
      <x:c r="B226" s="69" t="str">
        <x:v>接客・サービス</x:v>
      </x:c>
      <x:c r="C226" s="69" t="str">
        <x:v>The Flower with the Wrong Meaning</x:v>
      </x:c>
      <x:c r="D226" s="69" t="str">
        <x:v>花屋が選べない花</x:v>
      </x:c>
      <x:c r="E226" s="69" t="str">
        <x:v>Present day; a florist's shop before a difficult apology. No supernatural rule is added.</x:v>
      </x:c>
      <x:c r="F226" s="69" t="str">
        <x:v>the customer choosing a meaningful arrangement</x:v>
      </x:c>
      <x:c r="G226" s="69" t="str">
        <x:v>Florist Amina Rose, an expert in symbolic messages</x:v>
      </x:c>
      <x:c r="H226" s="69" t="str">
        <x:v>Maple</x:v>
      </x:c>
      <x:c r="I226" s="69" t="str">
        <x:v>朗らかで率直。軽快、日常、サービス場面に合う</x:v>
      </x:c>
      <x:c r="J226" s="69" t="str">
        <x:v>A2–B1</x:v>
      </x:c>
      <x:c r="K226" s="69" t="str">
        <x:v>やさしい</x:v>
      </x:c>
      <x:c r="L226" s="69" t="str">
        <x:v>短い返事でOK。選択肢や言い換えあり</x:v>
      </x:c>
      <x:c r="M226" s="69" t="str">
        <x:v>describing relationships and intentions</x:v>
      </x:c>
      <x:c r="N226" s="69" t="str">
        <x:v>one-to-one; delivery leaves in twenty; describing relationships</x:v>
      </x:c>
      <x:c r="O226" s="69" t="str">
        <x:v>practical, courteous, and time-sensitive</x:v>
      </x:c>
      <x:c r="P226" s="71" t="n">
        <x:v>8</x:v>
      </x:c>
      <x:c r="Q226" s="69" t="str">
        <x:v>explain the relationship and avoid sending the wrong signal</x:v>
      </x:c>
      <x:c r="R226" s="69" t="str">
        <x:v>delivery leaves in twenty minutes</x:v>
      </x:c>
      <x:c r="S226" s="69" t="str">
        <x:v>Green</x:v>
      </x:c>
      <x:c r="T226" s="69" t="str">
        <x:v>IES_v10_8_02_SCENE_CARDS.md#S18</x:v>
      </x:c>
      <x:c r="U226" s="69" t="str">
        <x:v>花屋が選べない花</x:v>
      </x:c>
      <x:c r="V226" s="69" t="str">
        <x:v>Florist Amina Rose pushes on "delivery leaves in twenty minutes", and the whole exchange turns on describing relationships and intentions.</x:v>
      </x:c>
      <x:c r="W226" s="69" t="str">
        <x:v>practical</x:v>
      </x:c>
    </x:row>
    <x:row r="227" ht="44" customHeight="1">
      <x:c r="A227" s="69" t="str">
        <x:v>S19</x:v>
      </x:c>
      <x:c r="B227" s="69" t="str">
        <x:v>接客・サービス</x:v>
      </x:c>
      <x:c r="C227" s="69" t="str">
        <x:v>After the Test Drive</x:v>
      </x:c>
      <x:c r="D227" s="69" t="str">
        <x:v>中古車の試乗後</x:v>
      </x:c>
      <x:c r="E227" s="69" t="str">
        <x:v>Present day; a used-car dealership after an unexpected warning light appears. No supernatural rule is added.</x:v>
      </x:c>
      <x:c r="F227" s="69" t="str">
        <x:v>the buyer considering the purchase</x:v>
      </x:c>
      <x:c r="G227" s="69" t="str">
        <x:v>Saleswoman Priya Cole, representing the dealership</x:v>
      </x:c>
      <x:c r="H227" s="69" t="str">
        <x:v>Maple</x:v>
      </x:c>
      <x:c r="I227" s="69" t="str">
        <x:v>朗らかで率直。軽快、日常、サービス場面に合う</x:v>
      </x:c>
      <x:c r="J227" s="69" t="str">
        <x:v>B1–B2</x:v>
      </x:c>
      <x:c r="K227" s="69" t="str">
        <x:v>ふつう</x:v>
      </x:c>
      <x:c r="L227" s="69" t="str">
        <x:v>2〜3文で自然に受け答え</x:v>
      </x:c>
      <x:c r="M227" s="69" t="str">
        <x:v>technical questions and purchase boundaries</x:v>
      </x:c>
      <x:c r="N227" s="69" t="str">
        <x:v>one-to-one; the advertised discount ends; technical questions</x:v>
      </x:c>
      <x:c r="O227" s="69" t="str">
        <x:v>practical, courteous, and time-sensitive</x:v>
      </x:c>
      <x:c r="P227" s="71" t="n">
        <x:v>12</x:v>
      </x:c>
      <x:c r="Q227" s="69" t="str">
        <x:v>ask about inspection history and negotiate next steps</x:v>
      </x:c>
      <x:c r="R227" s="69" t="str">
        <x:v>the advertised discount ends today</x:v>
      </x:c>
      <x:c r="S227" s="69" t="str">
        <x:v>Green</x:v>
      </x:c>
      <x:c r="T227" s="69" t="str">
        <x:v>IES_v10_8_02_SCENE_CARDS.md#S19</x:v>
      </x:c>
      <x:c r="U227" s="69" t="str">
        <x:v>中古車の試乗後</x:v>
      </x:c>
      <x:c r="V227" s="69" t="str">
        <x:v>Saleswoman Priya Cole pushes on "the advertised discount ends today", and the whole exchange turns on technical questions and purchase.</x:v>
      </x:c>
      <x:c r="W227" s="69" t="str">
        <x:v>practical</x:v>
      </x:c>
    </x:row>
    <x:row r="228" ht="44" customHeight="1">
      <x:c r="A228" s="69" t="str">
        <x:v>S20</x:v>
      </x:c>
      <x:c r="B228" s="69" t="str">
        <x:v>接客・サービス</x:v>
      </x:c>
      <x:c r="C228" s="69" t="str">
        <x:v>The Wrong Suitcase of Clothes</x:v>
      </x:c>
      <x:c r="D228" s="69" t="str">
        <x:v>クリーニング店の取り違え</x:v>
      </x:c>
      <x:c r="E228" s="69" t="str">
        <x:v>Present day; a dry-cleaning counter before a business trip. No supernatural rule is added.</x:v>
      </x:c>
      <x:c r="F228" s="69" t="str">
        <x:v>the customer given someone else's formal clothing</x:v>
      </x:c>
      <x:c r="G228" s="69" t="str">
        <x:v>Owner Hannah Lee, searching the records</x:v>
      </x:c>
      <x:c r="H228" s="69" t="str">
        <x:v>Breeze</x:v>
      </x:c>
      <x:c r="I228" s="69" t="str">
        <x:v>表情豊かで真剣。緊迫、怪異、冒険に合う</x:v>
      </x:c>
      <x:c r="J228" s="69" t="str">
        <x:v>A2–B1</x:v>
      </x:c>
      <x:c r="K228" s="69" t="str">
        <x:v>やさしい</x:v>
      </x:c>
      <x:c r="L228" s="69" t="str">
        <x:v>短い返事でOK。選択肢や言い換えあり</x:v>
      </x:c>
      <x:c r="M228" s="69" t="str">
        <x:v>sequencing events and urgent requests</x:v>
      </x:c>
      <x:c r="N228" s="69" t="str">
        <x:v>one-to-one; your flight leaves in; sequencing events</x:v>
      </x:c>
      <x:c r="O228" s="69" t="str">
        <x:v>practical, courteous, and time-sensitive</x:v>
      </x:c>
      <x:c r="P228" s="71" t="n">
        <x:v>8</x:v>
      </x:c>
      <x:c r="Q228" s="69" t="str">
        <x:v>reconstruct the handoff and arrange an urgent solution</x:v>
      </x:c>
      <x:c r="R228" s="69" t="str">
        <x:v>your flight leaves in three hours</x:v>
      </x:c>
      <x:c r="S228" s="69" t="str">
        <x:v>Green</x:v>
      </x:c>
      <x:c r="T228" s="69" t="str">
        <x:v>IES_v10_8_02_SCENE_CARDS.md#S20</x:v>
      </x:c>
      <x:c r="U228" s="69" t="str">
        <x:v>クリーニング店の取り違え</x:v>
      </x:c>
      <x:c r="V228" s="69" t="str">
        <x:v>Owner Hannah Lee pushes on "your flight leaves in three hours", and the whole exchange turns on sequencing events and urgent.</x:v>
      </x:c>
      <x:c r="W228" s="69" t="str">
        <x:v>practical</x:v>
      </x:c>
    </x:row>
    <x:row r="229" ht="44" customHeight="1">
      <x:c r="A229" s="69" t="str">
        <x:v>S21</x:v>
      </x:c>
      <x:c r="B229" s="69" t="str">
        <x:v>接客・サービス</x:v>
      </x:c>
      <x:c r="C229" s="69" t="str">
        <x:v>The Ingredient Question</x:v>
      </x:c>
      <x:c r="D229" s="69" t="str">
        <x:v>料理教室のアレルギー申告</x:v>
      </x:c>
      <x:c r="E229" s="69" t="str">
        <x:v>Present day; a cooking class after ingredients have already been mixed. No supernatural rule is added.</x:v>
      </x:c>
      <x:c r="F229" s="69" t="str">
        <x:v>the participant with an undisclosed allergy concern</x:v>
      </x:c>
      <x:c r="G229" s="69" t="str">
        <x:v>Instructor Grace Nguyen, leading the class</x:v>
      </x:c>
      <x:c r="H229" s="69" t="str">
        <x:v>Maple</x:v>
      </x:c>
      <x:c r="I229" s="69" t="str">
        <x:v>朗らかで率直。軽快、日常、サービス場面に合う</x:v>
      </x:c>
      <x:c r="J229" s="69" t="str">
        <x:v>A2–B1</x:v>
      </x:c>
      <x:c r="K229" s="69" t="str">
        <x:v>やさしい</x:v>
      </x:c>
      <x:c r="L229" s="69" t="str">
        <x:v>短い返事でOK。選択肢や言い換えあり</x:v>
      </x:c>
      <x:c r="M229" s="69" t="str">
        <x:v>health disclosure and clear instructions</x:v>
      </x:c>
      <x:c r="N229" s="69" t="str">
        <x:v>one-to-one; the shared dish is; health disclosure</x:v>
      </x:c>
      <x:c r="O229" s="69" t="str">
        <x:v>practical, courteous, and time-sensitive</x:v>
      </x:c>
      <x:c r="P229" s="71" t="n">
        <x:v>8</x:v>
      </x:c>
      <x:c r="Q229" s="69" t="str">
        <x:v>clarify the risk and create a safe alternative without embarrassment</x:v>
      </x:c>
      <x:c r="R229" s="69" t="str">
        <x:v>the shared dish is about to be served</x:v>
      </x:c>
      <x:c r="S229" s="69" t="str">
        <x:v>Green</x:v>
      </x:c>
      <x:c r="T229" s="69" t="str">
        <x:v>IES_v10_8_02_SCENE_CARDS.md#S21</x:v>
      </x:c>
      <x:c r="U229" s="69" t="str">
        <x:v>料理教室のアレルギー申告</x:v>
      </x:c>
      <x:c r="V229" s="69" t="str">
        <x:v>Instructor Grace Nguyen pushes on "the shared dish is about to", and the whole exchange turns on health disclosure and clear.</x:v>
      </x:c>
      <x:c r="W229" s="69" t="str">
        <x:v>practical</x:v>
      </x:c>
    </x:row>
    <x:row r="230" ht="44" customHeight="1">
      <x:c r="A230" s="69" t="str">
        <x:v>S22</x:v>
      </x:c>
      <x:c r="B230" s="69" t="str">
        <x:v>接客・サービス</x:v>
      </x:c>
      <x:c r="C230" s="69" t="str">
        <x:v>The Museum Lost and Found</x:v>
      </x:c>
      <x:c r="D230" s="69" t="str">
        <x:v>閉館前の忘れ物</x:v>
      </x:c>
      <x:c r="E230" s="69" t="str">
        <x:v>Present day; a museum security desk minutes before closing. No supernatural rule is added.</x:v>
      </x:c>
      <x:c r="F230" s="69" t="str">
        <x:v>the visitor missing an important personal item</x:v>
      </x:c>
      <x:c r="G230" s="69" t="str">
        <x:v>Guard Clara Jones, reviewing the final access log</x:v>
      </x:c>
      <x:c r="H230" s="69" t="str">
        <x:v>Maple</x:v>
      </x:c>
      <x:c r="I230" s="69" t="str">
        <x:v>朗らかで率直。軽快、日常、サービス場面に合う</x:v>
      </x:c>
      <x:c r="J230" s="69" t="str">
        <x:v>A2–B1</x:v>
      </x:c>
      <x:c r="K230" s="69" t="str">
        <x:v>やさしい</x:v>
      </x:c>
      <x:c r="L230" s="69" t="str">
        <x:v>短い返事でOK。選択肢や言い換えあり</x:v>
      </x:c>
      <x:c r="M230" s="69" t="str">
        <x:v>detailed description and route reconstruction</x:v>
      </x:c>
      <x:c r="N230" s="69" t="str">
        <x:v>one-to-one; one gallery will be; detailed description</x:v>
      </x:c>
      <x:c r="O230" s="69" t="str">
        <x:v>practical, courteous, and time-sensitive</x:v>
      </x:c>
      <x:c r="P230" s="71" t="n">
        <x:v>10</x:v>
      </x:c>
      <x:c r="Q230" s="69" t="str">
        <x:v>describe the item and retrace your route efficiently</x:v>
      </x:c>
      <x:c r="R230" s="69" t="str">
        <x:v>one gallery will be sealed for conservation overnight</x:v>
      </x:c>
      <x:c r="S230" s="69" t="str">
        <x:v>Green</x:v>
      </x:c>
      <x:c r="T230" s="69" t="str">
        <x:v>IES_v10_8_02_SCENE_CARDS.md#S22</x:v>
      </x:c>
      <x:c r="U230" s="69" t="str">
        <x:v>閉館前の忘れ物</x:v>
      </x:c>
      <x:c r="V230" s="69" t="str">
        <x:v>Guard Clara Jones pushes on "one gallery will be sealed for", and the whole exchange turns on detailed description and route.</x:v>
      </x:c>
      <x:c r="W230" s="69" t="str">
        <x:v>practical</x:v>
      </x:c>
    </x:row>
    <x:row r="231" ht="44" customHeight="1">
      <x:c r="A231" s="69" t="str">
        <x:v>S23</x:v>
      </x:c>
      <x:c r="B231" s="69" t="str">
        <x:v>接客・サービス</x:v>
      </x:c>
      <x:c r="C231" s="69" t="str">
        <x:v>The Bakery Pickup Mix-Up</x:v>
      </x:c>
      <x:c r="D231" s="69" t="str">
        <x:v>予約制ベーカリーの取り違え</x:v>
      </x:c>
      <x:c r="E231" s="69" t="str">
        <x:v>Present day; a small bakery on a Saturday morning during a pre-order rush. No supernatural rule is added.</x:v>
      </x:c>
      <x:c r="F231" s="69" t="str">
        <x:v>the customer whose special-order cake was given to someone else</x:v>
      </x:c>
      <x:c r="G231" s="69" t="str">
        <x:v>Owner Marguerite Duval, baking a replacement against the clock</x:v>
      </x:c>
      <x:c r="H231" s="69" t="str">
        <x:v>Breeze</x:v>
      </x:c>
      <x:c r="I231" s="69" t="str">
        <x:v>表情豊かで真剣。緊迫、怪異、冒険に合う</x:v>
      </x:c>
      <x:c r="J231" s="69" t="str">
        <x:v>A2–B1</x:v>
      </x:c>
      <x:c r="K231" s="69" t="str">
        <x:v>やさしい</x:v>
      </x:c>
      <x:c r="L231" s="69" t="str">
        <x:v>短い返事でOK。選択肢や言い換えあり</x:v>
      </x:c>
      <x:c r="M231" s="69" t="str">
        <x:v>precise description and urgent problem-solving</x:v>
      </x:c>
      <x:c r="N231" s="69" t="str">
        <x:v>one-to-one; the event the cake; precise description</x:v>
      </x:c>
      <x:c r="O231" s="69" t="str">
        <x:v>practical, courteous, and time-sensitive</x:v>
      </x:c>
      <x:c r="P231" s="71" t="n">
        <x:v>8</x:v>
      </x:c>
      <x:c r="Q231" s="69" t="str">
        <x:v>describe the order precisely and negotiate a workable fix</x:v>
      </x:c>
      <x:c r="R231" s="69" t="str">
        <x:v>the event the cake was meant for starts in ninety minutes</x:v>
      </x:c>
      <x:c r="S231" s="69" t="str">
        <x:v>Green</x:v>
      </x:c>
      <x:c r="T231" s="69" t="str">
        <x:v>IES_v10_8_02_SCENE_CARDS.md#S23</x:v>
      </x:c>
      <x:c r="U231" s="69" t="str">
        <x:v>予約制ベーカリーの取り違え</x:v>
      </x:c>
      <x:c r="V231" s="69" t="str">
        <x:v>Owner Marguerite Duval pushes on "the event the cake was meant", and the whole exchange turns on precise description and urgent.</x:v>
      </x:c>
      <x:c r="W231" s="69" t="str">
        <x:v>practical</x:v>
      </x:c>
    </x:row>
    <x:row r="232" ht="44" customHeight="1">
      <x:c r="A232" s="69" t="str">
        <x:v>S24</x:v>
      </x:c>
      <x:c r="B232" s="69" t="str">
        <x:v>接客・サービス</x:v>
      </x:c>
      <x:c r="C232" s="69" t="str">
        <x:v>The Vacation Rental Mix-Up</x:v>
      </x:c>
      <x:c r="D232" s="69" t="str">
        <x:v>民泊のチェックイン齟齬</x:v>
      </x:c>
      <x:c r="E232" s="69" t="str">
        <x:v>Present day; a rental property entrance after the lockbox code fails. No supernatural rule is added.</x:v>
      </x:c>
      <x:c r="F232" s="69" t="str">
        <x:v>the guest locked out after a long journey</x:v>
      </x:c>
      <x:c r="G232" s="69" t="str">
        <x:v>Host Liaison Petra Voight, coordinating remotely by phone</x:v>
      </x:c>
      <x:c r="H232" s="69" t="str">
        <x:v>Maple</x:v>
      </x:c>
      <x:c r="I232" s="69" t="str">
        <x:v>朗らかで率直。軽快、日常、サービス場面に合う</x:v>
      </x:c>
      <x:c r="J232" s="69" t="str">
        <x:v>A2–B1</x:v>
      </x:c>
      <x:c r="K232" s="69" t="str">
        <x:v>やさしい</x:v>
      </x:c>
      <x:c r="L232" s="69" t="str">
        <x:v>短い返事でOK。選択肢や言い換えあり</x:v>
      </x:c>
      <x:c r="M232" s="69" t="str">
        <x:v>calm troubleshooting and remote coordination</x:v>
      </x:c>
      <x:c r="N232" s="69" t="str">
        <x:v>one-to-one; the neighborhood has no; calm troubleshooting</x:v>
      </x:c>
      <x:c r="O232" s="69" t="str">
        <x:v>practical, courteous, and time-sensitive</x:v>
      </x:c>
      <x:c r="P232" s="71" t="n">
        <x:v>10</x:v>
      </x:c>
      <x:c r="Q232" s="69" t="str">
        <x:v>troubleshoot calmly and arrange a real-time solution</x:v>
      </x:c>
      <x:c r="R232" s="69" t="str">
        <x:v>the neighborhood has no cell signal near the door</x:v>
      </x:c>
      <x:c r="S232" s="69" t="str">
        <x:v>Green</x:v>
      </x:c>
      <x:c r="T232" s="69" t="str">
        <x:v>IES_v10_8_02_SCENE_CARDS.md#S24</x:v>
      </x:c>
      <x:c r="U232" s="69" t="str">
        <x:v>民泊のチェックイン齟齬</x:v>
      </x:c>
      <x:c r="V232" s="69" t="str">
        <x:v>Host Liaison Petra Voight pushes on "the neighborhood has no cell signal", and the whole exchange turns on calm troubleshooting and remote.</x:v>
      </x:c>
      <x:c r="W232" s="69" t="str">
        <x:v>practical</x:v>
      </x:c>
    </x:row>
    <x:row r="233" ht="44" customHeight="1">
      <x:c r="A233" s="69" t="str">
        <x:v>S25</x:v>
      </x:c>
      <x:c r="B233" s="69" t="str">
        <x:v>接客・サービス</x:v>
      </x:c>
      <x:c r="C233" s="69" t="str">
        <x:v>The Shortened Spa Appointment</x:v>
      </x:c>
      <x:c r="D233" s="69" t="str">
        <x:v>スパでの予約時間短縮</x:v>
      </x:c>
      <x:c r="E233" s="69" t="str">
        <x:v>Present day; a spa reception desk after a scheduling error shrinks your booked time. No supernatural rule is added.</x:v>
      </x:c>
      <x:c r="F233" s="69" t="str">
        <x:v>the client who paid for a full session</x:v>
      </x:c>
      <x:c r="G233" s="69" t="str">
        <x:v>Manager Yolanda Reyes, offering a partial remedy</x:v>
      </x:c>
      <x:c r="H233" s="69" t="str">
        <x:v>Maple</x:v>
      </x:c>
      <x:c r="I233" s="69" t="str">
        <x:v>朗らかで率直。軽快、日常、サービス場面に合う</x:v>
      </x:c>
      <x:c r="J233" s="69" t="str">
        <x:v>A2–B1</x:v>
      </x:c>
      <x:c r="K233" s="69" t="str">
        <x:v>やさしい</x:v>
      </x:c>
      <x:c r="L233" s="69" t="str">
        <x:v>短い返事でOK。選択肢や言い換えあり</x:v>
      </x:c>
      <x:c r="M233" s="69" t="str">
        <x:v>fair complaint and negotiated remedy</x:v>
      </x:c>
      <x:c r="N233" s="69" t="str">
        <x:v>one-to-one; the next client is; fair complaint</x:v>
      </x:c>
      <x:c r="O233" s="69" t="str">
        <x:v>practical, courteous, and time-sensitive</x:v>
      </x:c>
      <x:c r="P233" s="71" t="n">
        <x:v>8</x:v>
      </x:c>
      <x:c r="Q233" s="69" t="str">
        <x:v>state the discrepancy clearly and negotiate fair compensation</x:v>
      </x:c>
      <x:c r="R233" s="69" t="str">
        <x:v>the next client is already checking in</x:v>
      </x:c>
      <x:c r="S233" s="69" t="str">
        <x:v>Green</x:v>
      </x:c>
      <x:c r="T233" s="69" t="str">
        <x:v>IES_v10_8_02_SCENE_CARDS.md#S25</x:v>
      </x:c>
      <x:c r="U233" s="69" t="str">
        <x:v>スパでの予約時間短縮</x:v>
      </x:c>
      <x:c r="V233" s="69" t="str">
        <x:v>Manager Yolanda Reyes pushes on "the next client is already checking", and the whole exchange turns on fair complaint and negotiated.</x:v>
      </x:c>
      <x:c r="W233" s="69" t="str">
        <x:v>practical</x:v>
      </x:c>
    </x:row>
    <x:row r="234" ht="44" customHeight="1">
      <x:c r="A234" s="69" t="str">
        <x:v>S26</x:v>
      </x:c>
      <x:c r="B234" s="69" t="str">
        <x:v>接客・サービス</x:v>
      </x:c>
      <x:c r="C234" s="69" t="str">
        <x:v>The Long Way Around</x:v>
      </x:c>
      <x:c r="D234" s="69" t="str">
        <x:v>タクシーの遠回りクレーム</x:v>
      </x:c>
      <x:c r="E234" s="69" t="str">
        <x:v>Present day; a taxi drop-off point after a suspiciously long route. No supernatural rule is added.</x:v>
      </x:c>
      <x:c r="F234" s="69" t="str">
        <x:v>the passenger questioning the fare</x:v>
      </x:c>
      <x:c r="G234" s="69" t="str">
        <x:v>Dispatcher Camille Renaud, reviewing the GPS log by phone</x:v>
      </x:c>
      <x:c r="H234" s="69" t="str">
        <x:v>Maple</x:v>
      </x:c>
      <x:c r="I234" s="69" t="str">
        <x:v>朗らかで率直。軽快、日常、サービス場面に合う</x:v>
      </x:c>
      <x:c r="J234" s="69" t="str">
        <x:v>A2–B1</x:v>
      </x:c>
      <x:c r="K234" s="69" t="str">
        <x:v>やさしい</x:v>
      </x:c>
      <x:c r="L234" s="69" t="str">
        <x:v>短い返事でOK。選択肢や言い換えあり</x:v>
      </x:c>
      <x:c r="M234" s="69" t="str">
        <x:v>evidence-based complaint and calm negotiation</x:v>
      </x:c>
      <x:c r="N234" s="69" t="str">
        <x:v>one-to-one; the driver has already; evidence-based complaint</x:v>
      </x:c>
      <x:c r="O234" s="69" t="str">
        <x:v>practical, courteous, and time-sensitive</x:v>
      </x:c>
      <x:c r="P234" s="71" t="n">
        <x:v>8</x:v>
      </x:c>
      <x:c r="Q234" s="69" t="str">
        <x:v>describe the route discrepancy and request a fair adjustment</x:v>
      </x:c>
      <x:c r="R234" s="69" t="str">
        <x:v>the driver has already left before the dispute is resolved</x:v>
      </x:c>
      <x:c r="S234" s="69" t="str">
        <x:v>Green</x:v>
      </x:c>
      <x:c r="T234" s="69" t="str">
        <x:v>IES_v10_8_02_SCENE_CARDS.md#S26</x:v>
      </x:c>
      <x:c r="U234" s="69" t="str">
        <x:v>タクシーの遠回りクレーム</x:v>
      </x:c>
      <x:c r="V234" s="69" t="str">
        <x:v>Dispatcher Camille Renaud pushes on "the driver has already left before", and the whole exchange turns on evidence-based complaint and calm.</x:v>
      </x:c>
      <x:c r="W234" s="69" t="str">
        <x:v>practical</x:v>
      </x:c>
    </x:row>
    <x:row r="235" ht="44" customHeight="1">
      <x:c r="A235" s="69" t="str">
        <x:v>S27</x:v>
      </x:c>
      <x:c r="B235" s="69" t="str">
        <x:v>接客・サービス</x:v>
      </x:c>
      <x:c r="C235" s="69" t="str">
        <x:v>The Broken Conference Room</x:v>
      </x:c>
      <x:c r="D235" s="69" t="str">
        <x:v>貸し会議室の設備故障</x:v>
      </x:c>
      <x:c r="E235" s="69" t="str">
        <x:v>Present day; a coworking space five minutes before a paid client presentation. No supernatural rule is added.</x:v>
      </x:c>
      <x:c r="F235" s="69" t="str">
        <x:v>the renter whose booked equipment has failed</x:v>
      </x:c>
      <x:c r="G235" s="69" t="str">
        <x:v>Facilities Lead Desmond Okafor, scrambling for a fix</x:v>
      </x:c>
      <x:c r="H235" s="69" t="str">
        <x:v>Breeze</x:v>
      </x:c>
      <x:c r="I235" s="69" t="str">
        <x:v>表情豊かで真剣。緊迫、怪異、冒険に合う</x:v>
      </x:c>
      <x:c r="J235" s="69" t="str">
        <x:v>A2–B2</x:v>
      </x:c>
      <x:c r="K235" s="69" t="str">
        <x:v>やさしい</x:v>
      </x:c>
      <x:c r="L235" s="69" t="str">
        <x:v>短い返事でOK。選択肢や言い換えあり</x:v>
      </x:c>
      <x:c r="M235" s="69" t="str">
        <x:v>urgent reporting and rapid problem-solving</x:v>
      </x:c>
      <x:c r="N235" s="69" t="str">
        <x:v>one-to-one; the client is already; urgent reporting</x:v>
      </x:c>
      <x:c r="O235" s="69" t="str">
        <x:v>practical, courteous, and time-sensitive</x:v>
      </x:c>
      <x:c r="P235" s="71" t="n">
        <x:v>8</x:v>
      </x:c>
      <x:c r="Q235" s="69" t="str">
        <x:v>report the failure precisely and secure an immediate alternative</x:v>
      </x:c>
      <x:c r="R235" s="69" t="str">
        <x:v>the client is already seated and waiting</x:v>
      </x:c>
      <x:c r="S235" s="69" t="str">
        <x:v>Green</x:v>
      </x:c>
      <x:c r="T235" s="69" t="str">
        <x:v>IES_v10_8_02_SCENE_CARDS.md#S27</x:v>
      </x:c>
      <x:c r="U235" s="69" t="str">
        <x:v>貸し会議室の設備故障</x:v>
      </x:c>
      <x:c r="V235" s="69" t="str">
        <x:v>Facilities Lead Desmond Okafor pushes on "the client is already seated and", and the whole exchange turns on urgent reporting and rapid.</x:v>
      </x:c>
      <x:c r="W235" s="69" t="str">
        <x:v>practical</x:v>
      </x:c>
    </x:row>
    <x:row r="236" ht="44" customHeight="1">
      <x:c r="A236" s="69" t="str">
        <x:v>S28</x:v>
      </x:c>
      <x:c r="B236" s="69" t="str">
        <x:v>接客・サービス</x:v>
      </x:c>
      <x:c r="C236" s="69" t="str">
        <x:v>The Overweight Suitcase</x:v>
      </x:c>
      <x:c r="D236" s="69" t="str">
        <x:v>スーツケースの重量超過</x:v>
      </x:c>
      <x:c r="E236" s="69" t="str">
        <x:v>Present day; an airline check-in counter with a line building behind you. No supernatural rule is added.</x:v>
      </x:c>
      <x:c r="F236" s="69" t="str">
        <x:v>the traveler whose bag is three kilograms over the limit</x:v>
      </x:c>
      <x:c r="G236" s="69" t="str">
        <x:v>Agent Simone Laurent, offering options before the fee applies</x:v>
      </x:c>
      <x:c r="H236" s="69" t="str">
        <x:v>Maple</x:v>
      </x:c>
      <x:c r="I236" s="69" t="str">
        <x:v>朗らかで率直。軽快、日常、サービス場面に合う</x:v>
      </x:c>
      <x:c r="J236" s="69" t="str">
        <x:v>A2–B1</x:v>
      </x:c>
      <x:c r="K236" s="69" t="str">
        <x:v>やさしい</x:v>
      </x:c>
      <x:c r="L236" s="69" t="str">
        <x:v>短い返事でOK。選択肢や言い換えあり</x:v>
      </x:c>
      <x:c r="M236" s="69" t="str">
        <x:v>quick decisions and calm negotiation</x:v>
      </x:c>
      <x:c r="N236" s="69" t="str">
        <x:v>one-to-one; the flight boards in; quick decisions</x:v>
      </x:c>
      <x:c r="O236" s="69" t="str">
        <x:v>practical, courteous, and time-sensitive</x:v>
      </x:c>
      <x:c r="P236" s="71" t="n">
        <x:v>8</x:v>
      </x:c>
      <x:c r="Q236" s="69" t="str">
        <x:v>make a fast repacking or payment decision under time pressure</x:v>
      </x:c>
      <x:c r="R236" s="69" t="str">
        <x:v>the flight boards in thirty-five minutes</x:v>
      </x:c>
      <x:c r="S236" s="69" t="str">
        <x:v>Green</x:v>
      </x:c>
      <x:c r="T236" s="69" t="str">
        <x:v>IES_v10_8_02_SCENE_CARDS.md#S28</x:v>
      </x:c>
      <x:c r="U236" s="69" t="str">
        <x:v>スーツケースの重量超過</x:v>
      </x:c>
      <x:c r="V236" s="69" t="str">
        <x:v>Agent Simone Laurent pushes on "the flight boards in thirty-five minutes", and the whole exchange turns on quick decisions and calm.</x:v>
      </x:c>
      <x:c r="W236" s="69" t="str">
        <x:v>practical</x:v>
      </x:c>
    </x:row>
    <x:row r="237" ht="44" customHeight="1">
      <x:c r="A237" s="69" t="str">
        <x:v>S29</x:v>
      </x:c>
      <x:c r="B237" s="69" t="str">
        <x:v>接客・サービス</x:v>
      </x:c>
      <x:c r="C237" s="69" t="str">
        <x:v>The Salon Booking Mix-Up</x:v>
      </x:c>
      <x:c r="D237" s="69" t="str">
        <x:v>美容室の予約時間の食い違い</x:v>
      </x:c>
      <x:c r="E237" s="69" t="str">
        <x:v>Present day; a busy salon front desk where the appointment time does not match. No supernatural rule is added.</x:v>
      </x:c>
      <x:c r="F237" s="69" t="str">
        <x:v>the client certain of a different confirmed time</x:v>
      </x:c>
      <x:c r="G237" s="69" t="str">
        <x:v>Receptionist Odalys Franco, checking a system that shows otherwise</x:v>
      </x:c>
      <x:c r="H237" s="69" t="str">
        <x:v>Maple</x:v>
      </x:c>
      <x:c r="I237" s="69" t="str">
        <x:v>朗らかで率直。軽快、日常、サービス場面に合う</x:v>
      </x:c>
      <x:c r="J237" s="69" t="str">
        <x:v>A2–B1</x:v>
      </x:c>
      <x:c r="K237" s="69" t="str">
        <x:v>やさしい</x:v>
      </x:c>
      <x:c r="L237" s="69" t="str">
        <x:v>短い返事でOK。選択肢や言い換えあり</x:v>
      </x:c>
      <x:c r="M237" s="69" t="str">
        <x:v>calm dispute resolution and flexible problem-solving</x:v>
      </x:c>
      <x:c r="N237" s="69" t="str">
        <x:v>one-to-one; the stylist has another; calm dispute resolution</x:v>
      </x:c>
      <x:c r="O237" s="69" t="str">
        <x:v>practical, courteous, and time-sensitive</x:v>
      </x:c>
      <x:c r="P237" s="71" t="n">
        <x:v>8</x:v>
      </x:c>
      <x:c r="Q237" s="69" t="str">
        <x:v>resolve the discrepancy without losing your slot entirely</x:v>
      </x:c>
      <x:c r="R237" s="69" t="str">
        <x:v>the stylist has another client booked in fifteen minutes</x:v>
      </x:c>
      <x:c r="S237" s="69" t="str">
        <x:v>Green</x:v>
      </x:c>
      <x:c r="T237" s="69" t="str">
        <x:v>IES_v10_8_02_SCENE_CARDS.md#S29</x:v>
      </x:c>
      <x:c r="U237" s="69" t="str">
        <x:v>美容室の予約時間の食い違い</x:v>
      </x:c>
      <x:c r="V237" s="69" t="str">
        <x:v>Receptionist Odalys Franco pushes on "the stylist has another client booked", and the whole exchange turns on calm dispute resolution and.</x:v>
      </x:c>
      <x:c r="W237" s="69" t="str">
        <x:v>practical</x:v>
      </x:c>
    </x:row>
    <x:row r="238" ht="44" customHeight="1">
      <x:c r="A238" s="69" t="str">
        <x:v>S30</x:v>
      </x:c>
      <x:c r="B238" s="69" t="str">
        <x:v>接客・サービス</x:v>
      </x:c>
      <x:c r="C238" s="69" t="str">
        <x:v>The Extended Warranty Claim</x:v>
      </x:c>
      <x:c r="D238" s="69" t="str">
        <x:v>家電量販店の延長保証</x:v>
      </x:c>
      <x:c r="E238" s="69" t="str">
        <x:v>Present day; an electronics store service counter with a malfunctioning device. No supernatural rule is added.</x:v>
      </x:c>
      <x:c r="F238" s="69" t="str">
        <x:v>the customer whose warranty claim is being questioned</x:v>
      </x:c>
      <x:c r="G238" s="69" t="str">
        <x:v>Technician Andre Dubois, checking purchase and service history</x:v>
      </x:c>
      <x:c r="H238" s="69" t="str">
        <x:v>Maple</x:v>
      </x:c>
      <x:c r="I238" s="69" t="str">
        <x:v>朗らかで率直。軽快、日常、サービス場面に合う</x:v>
      </x:c>
      <x:c r="J238" s="69" t="str">
        <x:v>A2–B1</x:v>
      </x:c>
      <x:c r="K238" s="69" t="str">
        <x:v>やさしい</x:v>
      </x:c>
      <x:c r="L238" s="69" t="str">
        <x:v>短い返事でOK。選択肢や言い換えあり</x:v>
      </x:c>
      <x:c r="M238" s="69" t="str">
        <x:v>evidence gathering and remedy negotiation</x:v>
      </x:c>
      <x:c r="N238" s="69" t="str">
        <x:v>one-to-one; the receipt is on; evidence gathering</x:v>
      </x:c>
      <x:c r="O238" s="69" t="str">
        <x:v>practical, courteous, and time-sensitive</x:v>
      </x:c>
      <x:c r="P238" s="71" t="n">
        <x:v>8</x:v>
      </x:c>
      <x:c r="Q238" s="69" t="str">
        <x:v>establish the facts and request a fair remedy</x:v>
      </x:c>
      <x:c r="R238" s="69" t="str">
        <x:v>the receipt is on your phone but the app will not load</x:v>
      </x:c>
      <x:c r="S238" s="69" t="str">
        <x:v>Green</x:v>
      </x:c>
      <x:c r="T238" s="69" t="str">
        <x:v>IES_v10_8_02_SCENE_CARDS.md#S30</x:v>
      </x:c>
      <x:c r="U238" s="69" t="str">
        <x:v>家電量販店の延長保証</x:v>
      </x:c>
      <x:c r="V238" s="69" t="str">
        <x:v>Technician Andre Dubois pushes on "the receipt is on your phone", and the whole exchange turns on evidence gathering and remedy.</x:v>
      </x:c>
      <x:c r="W238" s="69" t="str">
        <x:v>practical</x:v>
      </x:c>
    </x:row>
    <x:row r="239" ht="44" customHeight="1">
      <x:c r="A239" s="69" t="str">
        <x:v>S31</x:v>
      </x:c>
      <x:c r="B239" s="69" t="str">
        <x:v>接客・サービス</x:v>
      </x:c>
      <x:c r="C239" s="69" t="str">
        <x:v>The Rain Plan</x:v>
      </x:c>
      <x:c r="D239" s="69" t="str">
        <x:v>結婚式場の天候対応案</x:v>
      </x:c>
      <x:c r="E239" s="69" t="str">
        <x:v>Present day; a wedding venue two days before an outdoor ceremony with rain forecast. No supernatural rule is added.</x:v>
      </x:c>
      <x:c r="F239" s="69" t="str">
        <x:v>the couple deciding whether to trigger the indoor contingency</x:v>
      </x:c>
      <x:c r="G239" s="69" t="str">
        <x:v>Coordinator Beatriz Salgado, needing a decision by end of day</x:v>
      </x:c>
      <x:c r="H239" s="69" t="str">
        <x:v>Maple</x:v>
      </x:c>
      <x:c r="I239" s="69" t="str">
        <x:v>朗らかで率直。軽快、日常、サービス場面に合う</x:v>
      </x:c>
      <x:c r="J239" s="69" t="str">
        <x:v>A2–B2</x:v>
      </x:c>
      <x:c r="K239" s="69" t="str">
        <x:v>やさしい</x:v>
      </x:c>
      <x:c r="L239" s="69" t="str">
        <x:v>短い返事でOK。選択肢や言い換えあり</x:v>
      </x:c>
      <x:c r="M239" s="69" t="str">
        <x:v>tradeoff discussion and clear decisions</x:v>
      </x:c>
      <x:c r="N239" s="69" t="str">
        <x:v>one-to-one; guests are already asking; tradeoff discussion</x:v>
      </x:c>
      <x:c r="O239" s="69" t="str">
        <x:v>practical, courteous, and time-sensitive</x:v>
      </x:c>
      <x:c r="P239" s="71" t="n">
        <x:v>10</x:v>
      </x:c>
      <x:c r="Q239" s="69" t="str">
        <x:v>weigh tradeoffs and communicate a final decision clearly</x:v>
      </x:c>
      <x:c r="R239" s="69" t="str">
        <x:v>guests are already asking which version to expect</x:v>
      </x:c>
      <x:c r="S239" s="69" t="str">
        <x:v>Green</x:v>
      </x:c>
      <x:c r="T239" s="69" t="str">
        <x:v>IES_v10_8_02_SCENE_CARDS.md#S31</x:v>
      </x:c>
      <x:c r="U239" s="69" t="str">
        <x:v>結婚式場の天候対応案</x:v>
      </x:c>
      <x:c r="V239" s="69" t="str">
        <x:v>Coordinator Beatriz Salgado pushes on "guests are already asking which version", and the whole exchange turns on tradeoff discussion and clear.</x:v>
      </x:c>
      <x:c r="W239" s="69" t="str">
        <x:v>practical</x:v>
      </x:c>
    </x:row>
    <x:row r="240" ht="44" customHeight="1">
      <x:c r="A240" s="69" t="str">
        <x:v>S32</x:v>
      </x:c>
      <x:c r="B240" s="69" t="str">
        <x:v>接客・サービス</x:v>
      </x:c>
      <x:c r="C240" s="69" t="str">
        <x:v>The Rideshare Cancellation Fee</x:v>
      </x:c>
      <x:c r="D240" s="69" t="str">
        <x:v>配車アプリのキャンセル料</x:v>
      </x:c>
      <x:c r="E240" s="69" t="str">
        <x:v>Present day; a rideshare support chat escalated to a phone call. No supernatural rule is added.</x:v>
      </x:c>
      <x:c r="F240" s="69" t="str">
        <x:v>the rider disputing a fee for a driver who never arrived</x:v>
      </x:c>
      <x:c r="G240" s="69" t="str">
        <x:v>Support Lead Farrah Okonkwo, reviewing the trip log</x:v>
      </x:c>
      <x:c r="H240" s="69" t="str">
        <x:v>Maple</x:v>
      </x:c>
      <x:c r="I240" s="69" t="str">
        <x:v>朗らかで率直。軽快、日常、サービス場面に合う</x:v>
      </x:c>
      <x:c r="J240" s="69" t="str">
        <x:v>A2–B1</x:v>
      </x:c>
      <x:c r="K240" s="69" t="str">
        <x:v>やさしい</x:v>
      </x:c>
      <x:c r="L240" s="69" t="str">
        <x:v>短い返事でOK。選択肢や言い換えあり</x:v>
      </x:c>
      <x:c r="M240" s="69" t="str">
        <x:v>timeline presentation and fair dispute</x:v>
      </x:c>
      <x:c r="N240" s="69" t="str">
        <x:v>one-to-one; the driver's app shows; timeline presentation</x:v>
      </x:c>
      <x:c r="O240" s="69" t="str">
        <x:v>practical, courteous, and time-sensitive</x:v>
      </x:c>
      <x:c r="P240" s="71" t="n">
        <x:v>8</x:v>
      </x:c>
      <x:c r="Q240" s="69" t="str">
        <x:v>present your timeline clearly and request a fair reversal</x:v>
      </x:c>
      <x:c r="R240" s="69" t="str">
        <x:v>the driver's app shows a different arrival time than yours</x:v>
      </x:c>
      <x:c r="S240" s="69" t="str">
        <x:v>Green</x:v>
      </x:c>
      <x:c r="T240" s="69" t="str">
        <x:v>IES_v10_8_02_SCENE_CARDS.md#S32</x:v>
      </x:c>
      <x:c r="U240" s="69" t="str">
        <x:v>配車アプリのキャンセル料</x:v>
      </x:c>
      <x:c r="V240" s="69" t="str">
        <x:v>Support Lead Farrah Okonkwo pushes on "the driver's app shows a different", and the whole exchange turns on timeline presentation and fair.</x:v>
      </x:c>
      <x:c r="W240" s="69" t="str">
        <x:v>practical</x:v>
      </x:c>
    </x:row>
    <x:row r="241" ht="44" customHeight="1">
      <x:c r="A241" s="69" t="str">
        <x:v>R01</x:v>
      </x:c>
      <x:c r="B241" s="69" t="str">
        <x:v>現代恋愛・再会</x:v>
      </x:c>
      <x:c r="C241" s="69" t="str">
        <x:v>Seated Beside Your Ex</x:v>
      </x:c>
      <x:c r="D241" s="69" t="str">
        <x:v>同窓会で元恋人の隣</x:v>
      </x:c>
      <x:c r="E241" s="69" t="str">
        <x:v>Present day; a lively school reunion dinner. No supernatural rule is added.</x:v>
      </x:c>
      <x:c r="F241" s="69" t="str">
        <x:v>a guest unexpectedly seated beside a former partner</x:v>
      </x:c>
      <x:c r="G241" s="69" t="str">
        <x:v>Megan Cole, your ex after several years of silence</x:v>
      </x:c>
      <x:c r="H241" s="69" t="str">
        <x:v>Juniper</x:v>
      </x:c>
      <x:c r="I241" s="69" t="str">
        <x:v>開放的で明るい。相談、再会、親密な会話に合う</x:v>
      </x:c>
      <x:c r="J241" s="69" t="str">
        <x:v>B1–B2</x:v>
      </x:c>
      <x:c r="K241" s="69" t="str">
        <x:v>ふつう</x:v>
      </x:c>
      <x:c r="L241" s="69" t="str">
        <x:v>2〜3文で自然に受け答え</x:v>
      </x:c>
      <x:c r="M241" s="69" t="str">
        <x:v>past narration and present boundaries</x:v>
      </x:c>
      <x:c r="N241" s="69" t="str">
        <x:v>one-to-one; friends keep assuming the; past narration</x:v>
      </x:c>
      <x:c r="O241" s="69" t="str">
        <x:v>intimate, contemporary, and choice-driven</x:v>
      </x:c>
      <x:c r="P241" s="71" t="n">
        <x:v>12</x:v>
      </x:c>
      <x:c r="Q241" s="69" t="str">
        <x:v>decide what to acknowledge, explain, or leave in the past</x:v>
      </x:c>
      <x:c r="R241" s="69" t="str">
        <x:v>friends keep assuming the reunion is romantic</x:v>
      </x:c>
      <x:c r="S241" s="69" t="str">
        <x:v>Green</x:v>
      </x:c>
      <x:c r="T241" s="69" t="str">
        <x:v>IES_v10_8_02_SCENE_CARDS.md#R01</x:v>
      </x:c>
      <x:c r="U241" s="69" t="str">
        <x:v>同窓会で元恋人の隣</x:v>
      </x:c>
      <x:c r="V241" s="69" t="str">
        <x:v>Megan Cole pushes on "friends keep assuming the reunion is", and the whole exchange turns on past narration and present.</x:v>
      </x:c>
      <x:c r="W241" s="69" t="str">
        <x:v>drama</x:v>
      </x:c>
    </x:row>
    <x:row r="242" ht="44" customHeight="1">
      <x:c r="A242" s="69" t="str">
        <x:v>R02</x:v>
      </x:c>
      <x:c r="B242" s="69" t="str">
        <x:v>現代恋愛・再会</x:v>
      </x:c>
      <x:c r="C242" s="69" t="str">
        <x:v>The One-Year Housemate Agreement</x:v>
      </x:c>
      <x:c r="D242" s="69" t="str">
        <x:v>一年限定の同居契約</x:v>
      </x:c>
      <x:c r="E242" s="69" t="str">
        <x:v>Present day; a shared apartment on the first night of a practical living arrangement. No supernatural rule is added.</x:v>
      </x:c>
      <x:c r="F242" s="69" t="str">
        <x:v>the new housemate negotiating rules</x:v>
      </x:c>
      <x:c r="G242" s="69" t="str">
        <x:v>Avery Lin, an acquaintance with very different habits</x:v>
      </x:c>
      <x:c r="H242" s="69" t="str">
        <x:v>Juniper</x:v>
      </x:c>
      <x:c r="I242" s="69" t="str">
        <x:v>開放的で明るい。相談、再会、親密な会話に合う</x:v>
      </x:c>
      <x:c r="J242" s="69" t="str">
        <x:v>A2–B2</x:v>
      </x:c>
      <x:c r="K242" s="69" t="str">
        <x:v>やさしい</x:v>
      </x:c>
      <x:c r="L242" s="69" t="str">
        <x:v>短い返事でOK。選択肢や言い換えあり</x:v>
      </x:c>
      <x:c r="M242" s="69" t="str">
        <x:v>household negotiation and boundaries</x:v>
      </x:c>
      <x:c r="N242" s="69" t="str">
        <x:v>one-to-one; the signed lease makes; household negotiation</x:v>
      </x:c>
      <x:c r="O242" s="69" t="str">
        <x:v>intimate, contemporary, and choice-driven</x:v>
      </x:c>
      <x:c r="P242" s="71" t="n">
        <x:v>12</x:v>
      </x:c>
      <x:c r="Q242" s="69" t="str">
        <x:v>agree on money, privacy, guests, chores, and an exit process</x:v>
      </x:c>
      <x:c r="R242" s="69" t="str">
        <x:v>the signed lease makes either person's departure expensive</x:v>
      </x:c>
      <x:c r="S242" s="69" t="str">
        <x:v>Green</x:v>
      </x:c>
      <x:c r="T242" s="69" t="str">
        <x:v>IES_v10_8_02_SCENE_CARDS.md#R02</x:v>
      </x:c>
      <x:c r="U242" s="69" t="str">
        <x:v>一年限定の同居契約</x:v>
      </x:c>
      <x:c r="V242" s="69" t="str">
        <x:v>Avery Lin pushes on "the signed lease makes either person's", and the whole exchange turns on household negotiation and boundaries.</x:v>
      </x:c>
      <x:c r="W242" s="69" t="str">
        <x:v>drama</x:v>
      </x:c>
    </x:row>
    <x:row r="243" ht="44" customHeight="1">
      <x:c r="A243" s="69" t="str">
        <x:v>R03</x:v>
      </x:c>
      <x:c r="B243" s="69" t="str">
        <x:v>現代恋愛・再会</x:v>
      </x:c>
      <x:c r="C243" s="69" t="str">
        <x:v>Matched with the Client</x:v>
      </x:c>
      <x:c r="D243" s="69" t="str">
        <x:v>マッチング相手は取引先</x:v>
      </x:c>
      <x:c r="E243" s="69" t="str">
        <x:v>Present day; a cafe before a first date arranged through an app. No supernatural rule is added.</x:v>
      </x:c>
      <x:c r="F243" s="69" t="str">
        <x:v>the person who recognizes the match as a business contact</x:v>
      </x:c>
      <x:c r="G243" s="69" t="str">
        <x:v>Natalie Shaw, the client's project lead</x:v>
      </x:c>
      <x:c r="H243" s="69" t="str">
        <x:v>Juniper</x:v>
      </x:c>
      <x:c r="I243" s="69" t="str">
        <x:v>開放的で明るい。相談、再会、親密な会話に合う</x:v>
      </x:c>
      <x:c r="J243" s="69" t="str">
        <x:v>B1–B2</x:v>
      </x:c>
      <x:c r="K243" s="69" t="str">
        <x:v>ふつう</x:v>
      </x:c>
      <x:c r="L243" s="69" t="str">
        <x:v>2〜3文で自然に受け答え</x:v>
      </x:c>
      <x:c r="M243" s="69" t="str">
        <x:v>expectation setting and consent</x:v>
      </x:c>
      <x:c r="N243" s="69" t="str">
        <x:v>one-to-one; the app has already; expectation setting</x:v>
      </x:c>
      <x:c r="O243" s="69" t="str">
        <x:v>intimate, contemporary, and choice-driven</x:v>
      </x:c>
      <x:c r="P243" s="71" t="n">
        <x:v>10</x:v>
      </x:c>
      <x:c r="Q243" s="69" t="str">
        <x:v>decide whether to continue the meeting and protect the work relationship</x:v>
      </x:c>
      <x:c r="R243" s="69" t="str">
        <x:v>the app has already sent both of you a compatibility prompt</x:v>
      </x:c>
      <x:c r="S243" s="69" t="str">
        <x:v>Green</x:v>
      </x:c>
      <x:c r="T243" s="69" t="str">
        <x:v>IES_v10_8_02_SCENE_CARDS.md#R03</x:v>
      </x:c>
      <x:c r="U243" s="69" t="str">
        <x:v>マッチング相手は取引先</x:v>
      </x:c>
      <x:c r="V243" s="69" t="str">
        <x:v>Natalie Shaw pushes on "the app has already sent both", and the whole exchange turns on expectation setting and consent.</x:v>
      </x:c>
      <x:c r="W243" s="69" t="str">
        <x:v>drama</x:v>
      </x:c>
    </x:row>
    <x:row r="244" ht="44" customHeight="1">
      <x:c r="A244" s="69" t="str">
        <x:v>R04</x:v>
      </x:c>
      <x:c r="B244" s="69" t="str">
        <x:v>現代恋愛・再会</x:v>
      </x:c>
      <x:c r="C244" s="69" t="str">
        <x:v>The Ring Before the Breakup</x:v>
      </x:c>
      <x:c r="D244" s="69" t="str">
        <x:v>別れ話の前に届いた指輪</x:v>
      </x:c>
      <x:c r="E244" s="69" t="str">
        <x:v>Present day; an apartment evening planned for a difficult conversation. No supernatural rule is added.</x:v>
      </x:c>
      <x:c r="F244" s="69" t="str">
        <x:v>the partner intending to end the relationship</x:v>
      </x:c>
      <x:c r="G244" s="69" t="str">
        <x:v>Julia Hayes, who arrives with an unexpected ring box</x:v>
      </x:c>
      <x:c r="H244" s="69" t="str">
        <x:v>Juniper</x:v>
      </x:c>
      <x:c r="I244" s="69" t="str">
        <x:v>開放的で明るい。相談、再会、親密な会話に合う</x:v>
      </x:c>
      <x:c r="J244" s="69" t="str">
        <x:v>B1–C1</x:v>
      </x:c>
      <x:c r="K244" s="69" t="str">
        <x:v>ふつう</x:v>
      </x:c>
      <x:c r="L244" s="69" t="str">
        <x:v>2〜3文で自然に受け答え</x:v>
      </x:c>
      <x:c r="M244" s="69" t="str">
        <x:v>difficult disclosure and emotional boundaries</x:v>
      </x:c>
      <x:c r="N244" s="69" t="str">
        <x:v>one-to-one; julia asks for an; difficult disclosure</x:v>
      </x:c>
      <x:c r="O244" s="69" t="str">
        <x:v>intimate, contemporary, and choice-driven</x:v>
      </x:c>
      <x:c r="P244" s="71" t="n">
        <x:v>12</x:v>
      </x:c>
      <x:c r="Q244" s="69" t="str">
        <x:v>speak honestly without letting the surprise decide for you</x:v>
      </x:c>
      <x:c r="R244" s="69" t="str">
        <x:v>Julia asks for an answer before you can begin your prepared speech</x:v>
      </x:c>
      <x:c r="S244" s="69" t="str">
        <x:v>Green</x:v>
      </x:c>
      <x:c r="T244" s="69" t="str">
        <x:v>IES_v10_8_02_SCENE_CARDS.md#R04</x:v>
      </x:c>
      <x:c r="U244" s="69" t="str">
        <x:v>別れ話の前に届いた指輪</x:v>
      </x:c>
      <x:c r="V244" s="69" t="str">
        <x:v>Julia Hayes pushes on "julia asks for an answer before", and the whole exchange turns on difficult disclosure and emotional.</x:v>
      </x:c>
      <x:c r="W244" s="69" t="str">
        <x:v>drama</x:v>
      </x:c>
    </x:row>
    <x:row r="245" ht="44" customHeight="1">
      <x:c r="A245" s="69" t="str">
        <x:v>R05</x:v>
      </x:c>
      <x:c r="B245" s="69" t="str">
        <x:v>現代恋愛・再会</x:v>
      </x:c>
      <x:c r="C245" s="69" t="str">
        <x:v>The Friend's Confession</x:v>
      </x:c>
      <x:c r="D245" s="69" t="str">
        <x:v>親友からの突然の告白</x:v>
      </x:c>
      <x:c r="E245" s="69" t="str">
        <x:v>Present day; a quiet walk after a long friendship. No supernatural rule is added.</x:v>
      </x:c>
      <x:c r="F245" s="69" t="str">
        <x:v>the friend receiving an unexpected confession</x:v>
      </x:c>
      <x:c r="G245" s="69" t="str">
        <x:v>Emma Carter, your closest friend</x:v>
      </x:c>
      <x:c r="H245" s="69" t="str">
        <x:v>Juniper</x:v>
      </x:c>
      <x:c r="I245" s="69" t="str">
        <x:v>開放的で明るい。相談、再会、親密な会話に合う</x:v>
      </x:c>
      <x:c r="J245" s="69" t="str">
        <x:v>B1–B2</x:v>
      </x:c>
      <x:c r="K245" s="69" t="str">
        <x:v>ふつう</x:v>
      </x:c>
      <x:c r="L245" s="69" t="str">
        <x:v>2〜3文で自然に受け答え</x:v>
      </x:c>
      <x:c r="M245" s="69" t="str">
        <x:v>emotional clarity and respectful response</x:v>
      </x:c>
      <x:c r="N245" s="69" t="str">
        <x:v>one-to-one; a shared trip is; emotional clarity</x:v>
      </x:c>
      <x:c r="O245" s="69" t="str">
        <x:v>intimate, contemporary, and choice-driven</x:v>
      </x:c>
      <x:c r="P245" s="71" t="n">
        <x:v>10</x:v>
      </x:c>
      <x:c r="Q245" s="69" t="str">
        <x:v>respond honestly and protect her ability to choose distance</x:v>
      </x:c>
      <x:c r="R245" s="69" t="str">
        <x:v>a shared trip is scheduled for tomorrow</x:v>
      </x:c>
      <x:c r="S245" s="69" t="str">
        <x:v>Green</x:v>
      </x:c>
      <x:c r="T245" s="69" t="str">
        <x:v>IES_v10_8_02_SCENE_CARDS.md#R05</x:v>
      </x:c>
      <x:c r="U245" s="69" t="str">
        <x:v>親友からの突然の告白</x:v>
      </x:c>
      <x:c r="V245" s="69" t="str">
        <x:v>Emma Carter pushes on "a shared trip is scheduled for", and the whole exchange turns on emotional clarity and respectful.</x:v>
      </x:c>
      <x:c r="W245" s="69" t="str">
        <x:v>drama</x:v>
      </x:c>
    </x:row>
    <x:row r="246" ht="44" customHeight="1">
      <x:c r="A246" s="69" t="str">
        <x:v>R06</x:v>
      </x:c>
      <x:c r="B246" s="69" t="str">
        <x:v>現代恋愛・再会</x:v>
      </x:c>
      <x:c r="C246" s="69" t="str">
        <x:v>The Pretend Date</x:v>
      </x:c>
      <x:c r="D246" s="69" t="str">
        <x:v>仕事だけの偽装恋人</x:v>
      </x:c>
      <x:c r="E246" s="69" t="str">
        <x:v>Present day; a corporate dinner where you agreed to appear as a couple. No supernatural rule is added.</x:v>
      </x:c>
      <x:c r="F246" s="69" t="str">
        <x:v>one participant in a temporary fake relationship</x:v>
      </x:c>
      <x:c r="G246" s="69" t="str">
        <x:v>Sienna Brooks, your colleague and acting partner</x:v>
      </x:c>
      <x:c r="H246" s="69" t="str">
        <x:v>Juniper</x:v>
      </x:c>
      <x:c r="I246" s="69" t="str">
        <x:v>開放的で明るい。相談、再会、親密な会話に合う</x:v>
      </x:c>
      <x:c r="J246" s="69" t="str">
        <x:v>B1–B2</x:v>
      </x:c>
      <x:c r="K246" s="69" t="str">
        <x:v>ふつう</x:v>
      </x:c>
      <x:c r="L246" s="69" t="str">
        <x:v>2〜3文で自然に受け答え</x:v>
      </x:c>
      <x:c r="M246" s="69" t="str">
        <x:v>boundary setting and coordinated cover story</x:v>
      </x:c>
      <x:c r="N246" s="69" t="str">
        <x:v>one-to-one; the host knows one; boundary setting</x:v>
      </x:c>
      <x:c r="O246" s="69" t="str">
        <x:v>intimate, contemporary, and choice-driven</x:v>
      </x:c>
      <x:c r="P246" s="71" t="n">
        <x:v>12</x:v>
      </x:c>
      <x:c r="Q246" s="69" t="str">
        <x:v>set rules for the evening and decide how to answer personal questions</x:v>
      </x:c>
      <x:c r="R246" s="69" t="str">
        <x:v>the host knows one of you from the past</x:v>
      </x:c>
      <x:c r="S246" s="69" t="str">
        <x:v>Green</x:v>
      </x:c>
      <x:c r="T246" s="69" t="str">
        <x:v>IES_v10_8_02_SCENE_CARDS.md#R06</x:v>
      </x:c>
      <x:c r="U246" s="69" t="str">
        <x:v>仕事だけの偽装恋人</x:v>
      </x:c>
      <x:c r="V246" s="69" t="str">
        <x:v>Sienna Brooks pushes on "the host knows one of you", and the whole exchange turns on boundary setting and coordinated.</x:v>
      </x:c>
      <x:c r="W246" s="69" t="str">
        <x:v>drama</x:v>
      </x:c>
    </x:row>
    <x:row r="247" ht="44" customHeight="1">
      <x:c r="A247" s="69" t="str">
        <x:v>R07</x:v>
      </x:c>
      <x:c r="B247" s="69" t="str">
        <x:v>現代恋愛・再会</x:v>
      </x:c>
      <x:c r="C247" s="69" t="str">
        <x:v>The Apology After Eight Years</x:v>
      </x:c>
      <x:c r="D247" s="69" t="str">
        <x:v>八年ぶりの謝罪</x:v>
      </x:c>
      <x:c r="E247" s="69" t="str">
        <x:v>Present day; a neighborhood coffee shop after an old bully requests a meeting. No supernatural rule is added.</x:v>
      </x:c>
      <x:c r="F247" s="69" t="str">
        <x:v>the person deciding whether to hear the apology</x:v>
      </x:c>
      <x:c r="G247" s="69" t="str">
        <x:v>Lauren Price, the former classmate who caused lasting harm</x:v>
      </x:c>
      <x:c r="H247" s="69" t="str">
        <x:v>Juniper</x:v>
      </x:c>
      <x:c r="I247" s="69" t="str">
        <x:v>開放的で明るい。相談、再会、親密な会話に合う</x:v>
      </x:c>
      <x:c r="J247" s="69" t="str">
        <x:v>B1–C1</x:v>
      </x:c>
      <x:c r="K247" s="69" t="str">
        <x:v>ふつう</x:v>
      </x:c>
      <x:c r="L247" s="69" t="str">
        <x:v>2〜3文で自然に受け答え</x:v>
      </x:c>
      <x:c r="M247" s="69" t="str">
        <x:v>accountability questions and firm limits</x:v>
      </x:c>
      <x:c r="N247" s="69" t="str">
        <x:v>one-to-one; lauren expects to leave; accountability questions</x:v>
      </x:c>
      <x:c r="O247" s="69" t="str">
        <x:v>intimate, contemporary, and choice-driven</x:v>
      </x:c>
      <x:c r="P247" s="71" t="n">
        <x:v>15</x:v>
      </x:c>
      <x:c r="Q247" s="69" t="str">
        <x:v>ask for accountability and define what forgiveness would not mean</x:v>
      </x:c>
      <x:c r="R247" s="69" t="str">
        <x:v>Lauren expects to leave the city tomorrow</x:v>
      </x:c>
      <x:c r="S247" s="69" t="str">
        <x:v>Green</x:v>
      </x:c>
      <x:c r="T247" s="69" t="str">
        <x:v>IES_v10_8_02_SCENE_CARDS.md#R07</x:v>
      </x:c>
      <x:c r="U247" s="69" t="str">
        <x:v>八年ぶりの謝罪</x:v>
      </x:c>
      <x:c r="V247" s="69" t="str">
        <x:v>Lauren Price pushes on "lauren expects to leave the city", and the whole exchange turns on accountability questions and firm.</x:v>
      </x:c>
      <x:c r="W247" s="69" t="str">
        <x:v>drama</x:v>
      </x:c>
    </x:row>
    <x:row r="248" ht="44" customHeight="1">
      <x:c r="A248" s="69" t="str">
        <x:v>R08</x:v>
      </x:c>
      <x:c r="B248" s="69" t="str">
        <x:v>現代恋愛・再会</x:v>
      </x:c>
      <x:c r="C248" s="69" t="str">
        <x:v>The New Family Housemate</x:v>
      </x:c>
      <x:c r="D248" s="69" t="str">
        <x:v>親の再婚でできた同居人</x:v>
      </x:c>
      <x:c r="E248" s="69" t="str">
        <x:v>Present day; a family home after two adult households combine. No supernatural rule is added.</x:v>
      </x:c>
      <x:c r="F248" s="69" t="str">
        <x:v>the adult child negotiating space and expectations</x:v>
      </x:c>
      <x:c r="G248" s="69" t="str">
        <x:v>Madison Lee, the new stepsister you barely know</x:v>
      </x:c>
      <x:c r="H248" s="69" t="str">
        <x:v>Juniper</x:v>
      </x:c>
      <x:c r="I248" s="69" t="str">
        <x:v>開放的で明るい。相談、再会、親密な会話に合う</x:v>
      </x:c>
      <x:c r="J248" s="69" t="str">
        <x:v>A2–B1</x:v>
      </x:c>
      <x:c r="K248" s="69" t="str">
        <x:v>やさしい</x:v>
      </x:c>
      <x:c r="L248" s="69" t="str">
        <x:v>短い返事でOK。選択肢や言い換えあり</x:v>
      </x:c>
      <x:c r="M248" s="69" t="str">
        <x:v>household boundaries and relationship pacing</x:v>
      </x:c>
      <x:c r="N248" s="69" t="str">
        <x:v>one-to-one; both parents leave for; household boundaries</x:v>
      </x:c>
      <x:c r="O248" s="69" t="str">
        <x:v>intimate, contemporary, and choice-driven</x:v>
      </x:c>
      <x:c r="P248" s="71" t="n">
        <x:v>12</x:v>
      </x:c>
      <x:c r="Q248" s="69" t="str">
        <x:v>agree on privacy and household roles without forced closeness</x:v>
      </x:c>
      <x:c r="R248" s="69" t="str">
        <x:v>both parents leave for a month-long trip tomorrow</x:v>
      </x:c>
      <x:c r="S248" s="69" t="str">
        <x:v>Green</x:v>
      </x:c>
      <x:c r="T248" s="69" t="str">
        <x:v>IES_v10_8_02_SCENE_CARDS.md#R08</x:v>
      </x:c>
      <x:c r="U248" s="69" t="str">
        <x:v>親の再婚でできた同居人</x:v>
      </x:c>
      <x:c r="V248" s="69" t="str">
        <x:v>Madison Lee pushes on "both parents leave for a month-long", and the whole exchange turns on household boundaries and relationship.</x:v>
      </x:c>
      <x:c r="W248" s="69" t="str">
        <x:v>drama</x:v>
      </x:c>
    </x:row>
    <x:row r="249" ht="44" customHeight="1">
      <x:c r="A249" s="69" t="str">
        <x:v>R09</x:v>
      </x:c>
      <x:c r="B249" s="69" t="str">
        <x:v>現代恋愛・再会</x:v>
      </x:c>
      <x:c r="C249" s="69" t="str">
        <x:v>Across the Distance</x:v>
      </x:c>
      <x:c r="D249" s="69" t="str">
        <x:v>遠距離を続けるか</x:v>
      </x:c>
      <x:c r="E249" s="69" t="str">
        <x:v>Present day; a video call after another canceled visit. No supernatural rule is added.</x:v>
      </x:c>
      <x:c r="F249" s="69" t="str">
        <x:v>one partner questioning a long-distance relationship</x:v>
      </x:c>
      <x:c r="G249" s="69" t="str">
        <x:v>Isla Morgan, your partner abroad</x:v>
      </x:c>
      <x:c r="H249" s="69" t="str">
        <x:v>Juniper</x:v>
      </x:c>
      <x:c r="I249" s="69" t="str">
        <x:v>開放的で明るい。相談、再会、親密な会話に合う</x:v>
      </x:c>
      <x:c r="J249" s="69" t="str">
        <x:v>B1–B2</x:v>
      </x:c>
      <x:c r="K249" s="69" t="str">
        <x:v>ふつう</x:v>
      </x:c>
      <x:c r="L249" s="69" t="str">
        <x:v>2〜3文で自然に受け答え</x:v>
      </x:c>
      <x:c r="M249" s="69" t="str">
        <x:v>future planning and emotional honesty</x:v>
      </x:c>
      <x:c r="N249" s="69" t="str">
        <x:v>one-to-one; a job offer could; future planning</x:v>
      </x:c>
      <x:c r="O249" s="69" t="str">
        <x:v>intimate, contemporary, and choice-driven</x:v>
      </x:c>
      <x:c r="P249" s="71" t="n">
        <x:v>15</x:v>
      </x:c>
      <x:c r="Q249" s="69" t="str">
        <x:v>compare needs and decide on a concrete timeline</x:v>
      </x:c>
      <x:c r="R249" s="69" t="str">
        <x:v>a job offer could extend the distance by two years</x:v>
      </x:c>
      <x:c r="S249" s="69" t="str">
        <x:v>Green</x:v>
      </x:c>
      <x:c r="T249" s="69" t="str">
        <x:v>IES_v10_8_02_SCENE_CARDS.md#R09</x:v>
      </x:c>
      <x:c r="U249" s="69" t="str">
        <x:v>遠距離を続けるか</x:v>
      </x:c>
      <x:c r="V249" s="69" t="str">
        <x:v>Isla Morgan pushes on "a job offer could extend the", and the whole exchange turns on future planning and emotional.</x:v>
      </x:c>
      <x:c r="W249" s="69" t="str">
        <x:v>drama</x:v>
      </x:c>
    </x:row>
    <x:row r="250" ht="44" customHeight="1">
      <x:c r="A250" s="69" t="str">
        <x:v>R10</x:v>
      </x:c>
      <x:c r="B250" s="69" t="str">
        <x:v>現代恋愛・再会</x:v>
      </x:c>
      <x:c r="C250" s="69" t="str">
        <x:v>The Ex Next Door</x:v>
      </x:c>
      <x:c r="D250" s="69" t="str">
        <x:v>隣室に引っ越してきた元恋人</x:v>
      </x:c>
      <x:c r="E250" s="69" t="str">
        <x:v>Present day; an apartment hallway on moving day. No supernatural rule is added.</x:v>
      </x:c>
      <x:c r="F250" s="69" t="str">
        <x:v>the resident discovering a former partner is the new neighbor</x:v>
      </x:c>
      <x:c r="G250" s="69" t="str">
        <x:v>Kayla Reed, your ex carrying the final box</x:v>
      </x:c>
      <x:c r="H250" s="69" t="str">
        <x:v>Juniper</x:v>
      </x:c>
      <x:c r="I250" s="69" t="str">
        <x:v>開放的で明るい。相談、再会、親密な会話に合う</x:v>
      </x:c>
      <x:c r="J250" s="69" t="str">
        <x:v>A2–B2</x:v>
      </x:c>
      <x:c r="K250" s="69" t="str">
        <x:v>やさしい</x:v>
      </x:c>
      <x:c r="L250" s="69" t="str">
        <x:v>短い返事でOK。選択肢や言い換えあり</x:v>
      </x:c>
      <x:c r="M250" s="69" t="str">
        <x:v>boundary setting and awkward small talk</x:v>
      </x:c>
      <x:c r="N250" s="69" t="str">
        <x:v>one-to-one; the building has shared; boundary setting</x:v>
      </x:c>
      <x:c r="O250" s="69" t="str">
        <x:v>intimate, contemporary, and choice-driven</x:v>
      </x:c>
      <x:c r="P250" s="71" t="n">
        <x:v>10</x:v>
      </x:c>
      <x:c r="Q250" s="69" t="str">
        <x:v>set practical boundaries for unavoidable contact</x:v>
      </x:c>
      <x:c r="R250" s="69" t="str">
        <x:v>the building has shared laundry and a single rooftop garden</x:v>
      </x:c>
      <x:c r="S250" s="69" t="str">
        <x:v>Green</x:v>
      </x:c>
      <x:c r="T250" s="69" t="str">
        <x:v>IES_v10_8_02_SCENE_CARDS.md#R10</x:v>
      </x:c>
      <x:c r="U250" s="69" t="str">
        <x:v>隣室に引っ越してきた元恋人</x:v>
      </x:c>
      <x:c r="V250" s="69" t="str">
        <x:v>Kayla Reed pushes on "the building has shared laundry and", and the whole exchange turns on boundary setting and awkward.</x:v>
      </x:c>
      <x:c r="W250" s="69" t="str">
        <x:v>drama</x:v>
      </x:c>
    </x:row>
    <x:row r="251" ht="44" customHeight="1">
      <x:c r="A251" s="69" t="str">
        <x:v>R11</x:v>
      </x:c>
      <x:c r="B251" s="69" t="str">
        <x:v>現代恋愛・再会</x:v>
      </x:c>
      <x:c r="C251" s="69" t="str">
        <x:v>The Accidental Engagement Post</x:v>
      </x:c>
      <x:c r="D251" s="69" t="str">
        <x:v>婚約発表の誤解</x:v>
      </x:c>
      <x:c r="E251" s="69" t="str">
        <x:v>Present day; a private call after a family photo is interpreted online as an engagement. No supernatural rule is added.</x:v>
      </x:c>
      <x:c r="F251" s="69" t="str">
        <x:v>one person in a private relationship</x:v>
      </x:c>
      <x:c r="G251" s="69" t="str">
        <x:v>Sofia Martinez, your partner whose family posted the photo</x:v>
      </x:c>
      <x:c r="H251" s="69" t="str">
        <x:v>Juniper</x:v>
      </x:c>
      <x:c r="I251" s="69" t="str">
        <x:v>開放的で明るい。相談、再会、親密な会話に合う</x:v>
      </x:c>
      <x:c r="J251" s="69" t="str">
        <x:v>B1–B2</x:v>
      </x:c>
      <x:c r="K251" s="69" t="str">
        <x:v>ふつう</x:v>
      </x:c>
      <x:c r="L251" s="69" t="str">
        <x:v>2〜3文で自然に受け答え</x:v>
      </x:c>
      <x:c r="M251" s="69" t="str">
        <x:v>joint messaging and privacy</x:v>
      </x:c>
      <x:c r="N251" s="69" t="str">
        <x:v>one-to-one; congratulations are already arriving; joint messaging</x:v>
      </x:c>
      <x:c r="O251" s="69" t="str">
        <x:v>intimate, contemporary, and choice-driven</x:v>
      </x:c>
      <x:c r="P251" s="71" t="n">
        <x:v>10</x:v>
      </x:c>
      <x:c r="Q251" s="69" t="str">
        <x:v>agree on what to correct publicly and what to keep private</x:v>
      </x:c>
      <x:c r="R251" s="69" t="str">
        <x:v>congratulations are already arriving from coworkers</x:v>
      </x:c>
      <x:c r="S251" s="69" t="str">
        <x:v>Green</x:v>
      </x:c>
      <x:c r="T251" s="69" t="str">
        <x:v>IES_v10_8_02_SCENE_CARDS.md#R11</x:v>
      </x:c>
      <x:c r="U251" s="69" t="str">
        <x:v>婚約発表の誤解</x:v>
      </x:c>
      <x:c r="V251" s="69" t="str">
        <x:v>Sofia Martinez pushes on "congratulations are already arriving from coworkers", and the whole exchange turns on joint messaging and privacy.</x:v>
      </x:c>
      <x:c r="W251" s="69" t="str">
        <x:v>drama</x:v>
      </x:c>
    </x:row>
    <x:row r="252" ht="44" customHeight="1">
      <x:c r="A252" s="69" t="str">
        <x:v>R12</x:v>
      </x:c>
      <x:c r="B252" s="69" t="str">
        <x:v>現代恋愛・再会</x:v>
      </x:c>
      <x:c r="C252" s="69" t="str">
        <x:v>Before the Group Trip</x:v>
      </x:c>
      <x:c r="D252" s="69" t="str">
        <x:v>友達以上を断る旅行前夜</x:v>
      </x:c>
      <x:c r="E252" s="69" t="str">
        <x:v>Present day; a train station cafe the night before a shared vacation. No supernatural rule is added.</x:v>
      </x:c>
      <x:c r="F252" s="69" t="str">
        <x:v>the friend who must respond to growing romantic hints</x:v>
      </x:c>
      <x:c r="G252" s="69" t="str">
        <x:v>Harper James, the friend expecting an answer</x:v>
      </x:c>
      <x:c r="H252" s="69" t="str">
        <x:v>Juniper</x:v>
      </x:c>
      <x:c r="I252" s="69" t="str">
        <x:v>開放的で明るい。相談、再会、親密な会話に合う</x:v>
      </x:c>
      <x:c r="J252" s="69" t="str">
        <x:v>B1–B2</x:v>
      </x:c>
      <x:c r="K252" s="69" t="str">
        <x:v>ふつう</x:v>
      </x:c>
      <x:c r="L252" s="69" t="str">
        <x:v>2〜3文で自然に受け答え</x:v>
      </x:c>
      <x:c r="M252" s="69" t="str">
        <x:v>kind refusal and practical planning</x:v>
      </x:c>
      <x:c r="N252" s="69" t="str">
        <x:v>one-to-one; tickets and shared rooms; kind refusal</x:v>
      </x:c>
      <x:c r="O252" s="69" t="str">
        <x:v>intimate, contemporary, and choice-driven</x:v>
      </x:c>
      <x:c r="P252" s="71" t="n">
        <x:v>12</x:v>
      </x:c>
      <x:c r="Q252" s="69" t="str">
        <x:v>clarify the relationship without ruining the trip for everyone</x:v>
      </x:c>
      <x:c r="R252" s="69" t="str">
        <x:v>tickets and shared rooms are nonrefundable</x:v>
      </x:c>
      <x:c r="S252" s="69" t="str">
        <x:v>Green</x:v>
      </x:c>
      <x:c r="T252" s="69" t="str">
        <x:v>IES_v10_8_02_SCENE_CARDS.md#R12</x:v>
      </x:c>
      <x:c r="U252" s="69" t="str">
        <x:v>友達以上を断る旅行前夜</x:v>
      </x:c>
      <x:c r="V252" s="69" t="str">
        <x:v>Harper James pushes on "tickets and shared rooms are nonrefundable", and the whole exchange turns on kind refusal and practical.</x:v>
      </x:c>
      <x:c r="W252" s="69" t="str">
        <x:v>drama</x:v>
      </x:c>
    </x:row>
    <x:row r="253" ht="44" customHeight="1">
      <x:c r="A253" s="69" t="str">
        <x:v>R13</x:v>
      </x:c>
      <x:c r="B253" s="69" t="str">
        <x:v>現代恋愛・再会</x:v>
      </x:c>
      <x:c r="C253" s="69" t="str">
        <x:v>Before Signing</x:v>
      </x:c>
      <x:c r="D253" s="69" t="str">
        <x:v>離婚届の前の最後の会話</x:v>
      </x:c>
      <x:c r="E253" s="69" t="str">
        <x:v>Present day; a mediator's waiting room. No supernatural rule is added.</x:v>
      </x:c>
      <x:c r="F253" s="69" t="str">
        <x:v>one spouse preparing to finalize a separation</x:v>
      </x:c>
      <x:c r="G253" s="69" t="str">
        <x:v>Claire Bennett, your estranged wife</x:v>
      </x:c>
      <x:c r="H253" s="69" t="str">
        <x:v>Juniper</x:v>
      </x:c>
      <x:c r="I253" s="69" t="str">
        <x:v>開放的で明るい。相談、再会、親密な会話に合う</x:v>
      </x:c>
      <x:c r="J253" s="69" t="str">
        <x:v>B2–C1</x:v>
      </x:c>
      <x:c r="K253" s="69" t="str">
        <x:v>しっかり</x:v>
      </x:c>
      <x:c r="L253" s="69" t="str">
        <x:v>理由説明や交渉まで</x:v>
      </x:c>
      <x:c r="M253" s="69" t="str">
        <x:v>closure, boundaries, and concrete agreements</x:v>
      </x:c>
      <x:c r="N253" s="69" t="str">
        <x:v>one-to-one; the appointment begins in; closure, boundaries,</x:v>
      </x:c>
      <x:c r="O253" s="69" t="str">
        <x:v>intimate, contemporary, and choice-driven</x:v>
      </x:c>
      <x:c r="P253" s="71" t="n">
        <x:v>15</x:v>
      </x:c>
      <x:c r="Q253" s="69" t="str">
        <x:v>clarify unresolved practical and emotional issues without reopening coercive debate</x:v>
      </x:c>
      <x:c r="R253" s="69" t="str">
        <x:v>the appointment begins in twenty minutes</x:v>
      </x:c>
      <x:c r="S253" s="69" t="str">
        <x:v>Green</x:v>
      </x:c>
      <x:c r="T253" s="69" t="str">
        <x:v>IES_v10_8_02_SCENE_CARDS.md#R13</x:v>
      </x:c>
      <x:c r="U253" s="69" t="str">
        <x:v>離婚届の前の最後の会話</x:v>
      </x:c>
      <x:c r="V253" s="69" t="str">
        <x:v>Claire Bennett pushes on "the appointment begins in twenty minutes", and the whole exchange turns on closure, boundaries, and concrete.</x:v>
      </x:c>
      <x:c r="W253" s="69" t="str">
        <x:v>drama</x:v>
      </x:c>
    </x:row>
    <x:row r="254" ht="44" customHeight="1">
      <x:c r="A254" s="69" t="str">
        <x:v>R14</x:v>
      </x:c>
      <x:c r="B254" s="69" t="str">
        <x:v>現代恋愛・再会</x:v>
      </x:c>
      <x:c r="C254" s="69" t="str">
        <x:v>The Anonymous Letter</x:v>
      </x:c>
      <x:c r="D254" s="69" t="str">
        <x:v>匿名の恋文の送り主</x:v>
      </x:c>
      <x:c r="E254" s="69" t="str">
        <x:v>Present day; a public garden after months of unsigned letters. No supernatural rule is added.</x:v>
      </x:c>
      <x:c r="F254" s="69" t="str">
        <x:v>the recipient meeting the suspected writer</x:v>
      </x:c>
      <x:c r="G254" s="69" t="str">
        <x:v>Nora Patel, a quiet colleague who asked to speak privately</x:v>
      </x:c>
      <x:c r="H254" s="69" t="str">
        <x:v>Juniper</x:v>
      </x:c>
      <x:c r="I254" s="69" t="str">
        <x:v>開放的で明るい。相談、再会、親密な会話に合う</x:v>
      </x:c>
      <x:c r="J254" s="69" t="str">
        <x:v>B1–B2</x:v>
      </x:c>
      <x:c r="K254" s="69" t="str">
        <x:v>ふつう</x:v>
      </x:c>
      <x:c r="L254" s="69" t="str">
        <x:v>2〜3文で自然に受け答え</x:v>
      </x:c>
      <x:c r="M254" s="69" t="str">
        <x:v>careful confrontation and consent</x:v>
      </x:c>
      <x:c r="N254" s="69" t="str">
        <x:v>one-to-one; the letters contain details; careful confrontation</x:v>
      </x:c>
      <x:c r="O254" s="69" t="str">
        <x:v>intimate, contemporary, and choice-driven</x:v>
      </x:c>
      <x:c r="P254" s="71" t="n">
        <x:v>12</x:v>
      </x:c>
      <x:c r="Q254" s="69" t="str">
        <x:v>verify the truth and state what contact is welcome</x:v>
      </x:c>
      <x:c r="R254" s="69" t="str">
        <x:v>the letters contain details only someone close would know</x:v>
      </x:c>
      <x:c r="S254" s="69" t="str">
        <x:v>Green</x:v>
      </x:c>
      <x:c r="T254" s="69" t="str">
        <x:v>IES_v10_8_02_SCENE_CARDS.md#R14</x:v>
      </x:c>
      <x:c r="U254" s="69" t="str">
        <x:v>匿名の恋文の送り主</x:v>
      </x:c>
      <x:c r="V254" s="69" t="str">
        <x:v>Nora Patel pushes on "the letters contain details only someone", and the whole exchange turns on careful confrontation and consent.</x:v>
      </x:c>
      <x:c r="W254" s="69" t="str">
        <x:v>drama</x:v>
      </x:c>
    </x:row>
    <x:row r="255" ht="44" customHeight="1">
      <x:c r="A255" s="69" t="str">
        <x:v>R15</x:v>
      </x:c>
      <x:c r="B255" s="69" t="str">
        <x:v>現代恋愛・再会</x:v>
      </x:c>
      <x:c r="C255" s="69" t="str">
        <x:v>The Wedding Reunion</x:v>
      </x:c>
      <x:c r="D255" s="69" t="str">
        <x:v>友人の結婚式で再会</x:v>
      </x:c>
      <x:c r="E255" s="69" t="str">
        <x:v>Present day; a hotel terrace during a mutual friend's wedding. No supernatural rule is added.</x:v>
      </x:c>
      <x:c r="F255" s="69" t="str">
        <x:v>the guest encountering a former almost-relationship</x:v>
      </x:c>
      <x:c r="G255" s="69" t="str">
        <x:v>Amelia Ross, the person who left without explanation</x:v>
      </x:c>
      <x:c r="H255" s="69" t="str">
        <x:v>Juniper</x:v>
      </x:c>
      <x:c r="I255" s="69" t="str">
        <x:v>開放的で明るい。相談、再会、親密な会話に合う</x:v>
      </x:c>
      <x:c r="J255" s="69" t="str">
        <x:v>B1–B2</x:v>
      </x:c>
      <x:c r="K255" s="69" t="str">
        <x:v>ふつう</x:v>
      </x:c>
      <x:c r="L255" s="69" t="str">
        <x:v>2〜3文で自然に受け答え</x:v>
      </x:c>
      <x:c r="M255" s="69" t="str">
        <x:v>reunion questions and choice framing</x:v>
      </x:c>
      <x:c r="N255" s="69" t="str">
        <x:v>one-to-one; you are paired for; reunion questions</x:v>
      </x:c>
      <x:c r="O255" s="69" t="str">
        <x:v>intimate, contemporary, and choice-driven</x:v>
      </x:c>
      <x:c r="P255" s="71" t="n">
        <x:v>12</x:v>
      </x:c>
      <x:c r="Q255" s="69" t="str">
        <x:v>decide whether to revisit the past or keep the evening simple</x:v>
      </x:c>
      <x:c r="R255" s="69" t="str">
        <x:v>you are paired for a wedding task in ten minutes</x:v>
      </x:c>
      <x:c r="S255" s="69" t="str">
        <x:v>Green</x:v>
      </x:c>
      <x:c r="T255" s="69" t="str">
        <x:v>IES_v10_8_02_SCENE_CARDS.md#R15</x:v>
      </x:c>
      <x:c r="U255" s="69" t="str">
        <x:v>友人の結婚式で再会</x:v>
      </x:c>
      <x:c r="V255" s="69" t="str">
        <x:v>Amelia Ross pushes on "you are paired for a wedding", and the whole exchange turns on reunion questions and choice.</x:v>
      </x:c>
      <x:c r="W255" s="69" t="str">
        <x:v>drama</x:v>
      </x:c>
    </x:row>
    <x:row r="256" ht="44" customHeight="1">
      <x:c r="A256" s="69" t="str">
        <x:v>R16</x:v>
      </x:c>
      <x:c r="B256" s="69" t="str">
        <x:v>現代恋愛・再会</x:v>
      </x:c>
      <x:c r="C256" s="69" t="str">
        <x:v>The Guest Who Never Leaves</x:v>
      </x:c>
      <x:c r="D256" s="69" t="str">
        <x:v>ルームメイトの恋人問題</x:v>
      </x:c>
      <x:c r="E256" s="69" t="str">
        <x:v>Present day; a shared apartment after repeated overnight visits. No supernatural rule is added.</x:v>
      </x:c>
      <x:c r="F256" s="69" t="str">
        <x:v>the tenant raising a household concern</x:v>
      </x:c>
      <x:c r="G256" s="69" t="str">
        <x:v>Roommate Chloe Davis, defensive about her new relationship</x:v>
      </x:c>
      <x:c r="H256" s="69" t="str">
        <x:v>Juniper</x:v>
      </x:c>
      <x:c r="I256" s="69" t="str">
        <x:v>開放的で明るい。相談、再会、親密な会話に合う</x:v>
      </x:c>
      <x:c r="J256" s="69" t="str">
        <x:v>A2–B1</x:v>
      </x:c>
      <x:c r="K256" s="69" t="str">
        <x:v>やさしい</x:v>
      </x:c>
      <x:c r="L256" s="69" t="str">
        <x:v>短い返事でOK。選択肢や言い換えあり</x:v>
      </x:c>
      <x:c r="M256" s="69" t="str">
        <x:v>nonjudgmental boundaries and compromise</x:v>
      </x:c>
      <x:c r="N256" s="69" t="str">
        <x:v>one-to-one; rent renewal is due; nonjudgmental boundaries</x:v>
      </x:c>
      <x:c r="O256" s="69" t="str">
        <x:v>intimate, contemporary, and choice-driven</x:v>
      </x:c>
      <x:c r="P256" s="71" t="n">
        <x:v>10</x:v>
      </x:c>
      <x:c r="Q256" s="69" t="str">
        <x:v>describe the impact and negotiate guest rules without judging her partner</x:v>
      </x:c>
      <x:c r="R256" s="69" t="str">
        <x:v>rent renewal is due this week</x:v>
      </x:c>
      <x:c r="S256" s="69" t="str">
        <x:v>Green</x:v>
      </x:c>
      <x:c r="T256" s="69" t="str">
        <x:v>IES_v10_8_02_SCENE_CARDS.md#R16</x:v>
      </x:c>
      <x:c r="U256" s="69" t="str">
        <x:v>ルームメイトの恋人問題</x:v>
      </x:c>
      <x:c r="V256" s="69" t="str">
        <x:v>Roommate Chloe Davis pushes on "rent renewal is due this week", and the whole exchange turns on nonjudgmental boundaries and compromise.</x:v>
      </x:c>
      <x:c r="W256" s="69" t="str">
        <x:v>drama</x:v>
      </x:c>
    </x:row>
    <x:row r="257" ht="44" customHeight="1">
      <x:c r="A257" s="69" t="str">
        <x:v>R17</x:v>
      </x:c>
      <x:c r="B257" s="69" t="str">
        <x:v>現代恋愛・再会</x:v>
      </x:c>
      <x:c r="C257" s="69" t="str">
        <x:v>The Active Dating Profile</x:v>
      </x:c>
      <x:c r="D257" s="69" t="str">
        <x:v>恋人のマッチングアプリ</x:v>
      </x:c>
      <x:c r="E257" s="69" t="str">
        <x:v>Present day; a private conversation after finding a partner's current dating profile. No supernatural rule is added.</x:v>
      </x:c>
      <x:c r="F257" s="69" t="str">
        <x:v>the partner seeking an explanation</x:v>
      </x:c>
      <x:c r="G257" s="69" t="str">
        <x:v>Eva Wilson, your girlfriend who says the account is inactive</x:v>
      </x:c>
      <x:c r="H257" s="69" t="str">
        <x:v>Juniper</x:v>
      </x:c>
      <x:c r="I257" s="69" t="str">
        <x:v>開放的で明るい。相談、再会、親密な会話に合う</x:v>
      </x:c>
      <x:c r="J257" s="69" t="str">
        <x:v>B1–B2</x:v>
      </x:c>
      <x:c r="K257" s="69" t="str">
        <x:v>ふつう</x:v>
      </x:c>
      <x:c r="L257" s="69" t="str">
        <x:v>2〜3文で自然に受け答え</x:v>
      </x:c>
      <x:c r="M257" s="69" t="str">
        <x:v>relationship confrontation and evidence</x:v>
      </x:c>
      <x:c r="N257" s="69" t="str">
        <x:v>one-to-one; the app shows a; relationship confrontation</x:v>
      </x:c>
      <x:c r="O257" s="69" t="str">
        <x:v>intimate, contemporary, and choice-driven</x:v>
      </x:c>
      <x:c r="P257" s="71" t="n">
        <x:v>12</x:v>
      </x:c>
      <x:c r="Q257" s="69" t="str">
        <x:v>ask for facts and decide what trust requires</x:v>
      </x:c>
      <x:c r="R257" s="69" t="str">
        <x:v>the app shows a recent location update</x:v>
      </x:c>
      <x:c r="S257" s="69" t="str">
        <x:v>Green</x:v>
      </x:c>
      <x:c r="T257" s="69" t="str">
        <x:v>IES_v10_8_02_SCENE_CARDS.md#R17</x:v>
      </x:c>
      <x:c r="U257" s="69" t="str">
        <x:v>恋人のマッチングアプリ</x:v>
      </x:c>
      <x:c r="V257" s="69" t="str">
        <x:v>Eva Wilson pushes on "the app shows a recent location", and the whole exchange turns on relationship confrontation and evidence.</x:v>
      </x:c>
      <x:c r="W257" s="69" t="str">
        <x:v>drama</x:v>
      </x:c>
    </x:row>
    <x:row r="258" ht="44" customHeight="1">
      <x:c r="A258" s="69" t="str">
        <x:v>R18</x:v>
      </x:c>
      <x:c r="B258" s="69" t="str">
        <x:v>現代恋愛・再会</x:v>
      </x:c>
      <x:c r="C258" s="69" t="str">
        <x:v>The Offer Abroad</x:v>
      </x:c>
      <x:c r="D258" s="69" t="str">
        <x:v>結婚より先に仕事を選ぶ</x:v>
      </x:c>
      <x:c r="E258" s="69" t="str">
        <x:v>Present day; a home dinner after one partner receives a major overseas offer. No supernatural rule is added.</x:v>
      </x:c>
      <x:c r="F258" s="69" t="str">
        <x:v>the person affected by the possible move</x:v>
      </x:c>
      <x:c r="G258" s="69" t="str">
        <x:v>Lena Thomas, your partner and the job candidate</x:v>
      </x:c>
      <x:c r="H258" s="69" t="str">
        <x:v>Juniper</x:v>
      </x:c>
      <x:c r="I258" s="69" t="str">
        <x:v>開放的で明るい。相談、再会、親密な会話に合う</x:v>
      </x:c>
      <x:c r="J258" s="69" t="str">
        <x:v>B1–C1</x:v>
      </x:c>
      <x:c r="K258" s="69" t="str">
        <x:v>ふつう</x:v>
      </x:c>
      <x:c r="L258" s="69" t="str">
        <x:v>2〜3文で自然に受け答え</x:v>
      </x:c>
      <x:c r="M258" s="69" t="str">
        <x:v>future negotiation and competing priorities</x:v>
      </x:c>
      <x:c r="N258" s="69" t="str">
        <x:v>one-to-one; the offer requires a; future negotiation</x:v>
      </x:c>
      <x:c r="O258" s="69" t="str">
        <x:v>intimate, contemporary, and choice-driven</x:v>
      </x:c>
      <x:c r="P258" s="71" t="n">
        <x:v>15</x:v>
      </x:c>
      <x:c r="Q258" s="69" t="str">
        <x:v>discuss careers, commitment, and alternatives without ultimatums</x:v>
      </x:c>
      <x:c r="R258" s="69" t="str">
        <x:v>the offer requires a decision in forty-eight hours</x:v>
      </x:c>
      <x:c r="S258" s="69" t="str">
        <x:v>Green</x:v>
      </x:c>
      <x:c r="T258" s="69" t="str">
        <x:v>IES_v10_8_02_SCENE_CARDS.md#R18</x:v>
      </x:c>
      <x:c r="U258" s="69" t="str">
        <x:v>結婚より先に仕事を選ぶ</x:v>
      </x:c>
      <x:c r="V258" s="69" t="str">
        <x:v>Lena Thomas pushes on "the offer requires a decision in", and the whole exchange turns on future negotiation and competing.</x:v>
      </x:c>
      <x:c r="W258" s="69" t="str">
        <x:v>drama</x:v>
      </x:c>
    </x:row>
    <x:row r="259" ht="44" customHeight="1">
      <x:c r="A259" s="69" t="str">
        <x:v>R19</x:v>
      </x:c>
      <x:c r="B259" s="69" t="str">
        <x:v>現代恋愛・再会</x:v>
      </x:c>
      <x:c r="C259" s="69" t="str">
        <x:v>Starting Again as Friends</x:v>
      </x:c>
      <x:c r="D259" s="69" t="str">
        <x:v>初恋の続きは友達から</x:v>
      </x:c>
      <x:c r="E259" s="69" t="str">
        <x:v>Present day; a riverside walk after reconnecting with a first love. No supernatural rule is added.</x:v>
      </x:c>
      <x:c r="F259" s="69" t="str">
        <x:v>the person asked to restart slowly</x:v>
      </x:c>
      <x:c r="G259" s="69" t="str">
        <x:v>Mia Anderson, your childhood friend and former crush</x:v>
      </x:c>
      <x:c r="H259" s="69" t="str">
        <x:v>Juniper</x:v>
      </x:c>
      <x:c r="I259" s="69" t="str">
        <x:v>開放的で明るい。相談、再会、親密な会話に合う</x:v>
      </x:c>
      <x:c r="J259" s="69" t="str">
        <x:v>A2–B2</x:v>
      </x:c>
      <x:c r="K259" s="69" t="str">
        <x:v>やさしい</x:v>
      </x:c>
      <x:c r="L259" s="69" t="str">
        <x:v>短い返事でOK。選択肢や言い換えあり</x:v>
      </x:c>
      <x:c r="M259" s="69" t="str">
        <x:v>relationship expectations and gentle honesty</x:v>
      </x:c>
      <x:c r="N259" s="69" t="str">
        <x:v>one-to-one; mia is moving back; relationship expectations</x:v>
      </x:c>
      <x:c r="O259" s="69" t="str">
        <x:v>intimate, contemporary, and choice-driven</x:v>
      </x:c>
      <x:c r="P259" s="71" t="n">
        <x:v>12</x:v>
      </x:c>
      <x:c r="Q259" s="69" t="str">
        <x:v>define what friendship means now and set a pace</x:v>
      </x:c>
      <x:c r="R259" s="69" t="str">
        <x:v>Mia is moving back permanently next month</x:v>
      </x:c>
      <x:c r="S259" s="69" t="str">
        <x:v>Green</x:v>
      </x:c>
      <x:c r="T259" s="69" t="str">
        <x:v>IES_v10_8_02_SCENE_CARDS.md#R19</x:v>
      </x:c>
      <x:c r="U259" s="69" t="str">
        <x:v>初恋の続きは友達から</x:v>
      </x:c>
      <x:c r="V259" s="69" t="str">
        <x:v>Mia Anderson pushes on "mia is moving back permanently next", and the whole exchange turns on relationship expectations and gentle.</x:v>
      </x:c>
      <x:c r="W259" s="69" t="str">
        <x:v>drama</x:v>
      </x:c>
    </x:row>
    <x:row r="260" ht="44" customHeight="1">
      <x:c r="A260" s="69" t="str">
        <x:v>R20</x:v>
      </x:c>
      <x:c r="B260" s="69" t="str">
        <x:v>現代恋愛・再会</x:v>
      </x:c>
      <x:c r="C260" s="69" t="str">
        <x:v>Meeting Her Family</x:v>
      </x:c>
      <x:c r="D260" s="69" t="str">
        <x:v>恋人の家族に紹介される夜</x:v>
      </x:c>
      <x:c r="E260" s="69" t="str">
        <x:v>Present day; a restaurant lobby before a family dinner. No supernatural rule is added.</x:v>
      </x:c>
      <x:c r="F260" s="69" t="str">
        <x:v>the partner anxious about a first introduction</x:v>
      </x:c>
      <x:c r="G260" s="69" t="str">
        <x:v>Olivia Clark, your girlfriend</x:v>
      </x:c>
      <x:c r="H260" s="69" t="str">
        <x:v>Juniper</x:v>
      </x:c>
      <x:c r="I260" s="69" t="str">
        <x:v>開放的で明るい。相談、再会、親密な会話に合う</x:v>
      </x:c>
      <x:c r="J260" s="69" t="str">
        <x:v>A2–B1</x:v>
      </x:c>
      <x:c r="K260" s="69" t="str">
        <x:v>やさしい</x:v>
      </x:c>
      <x:c r="L260" s="69" t="str">
        <x:v>短い返事でOK。選択肢や言い換えあり</x:v>
      </x:c>
      <x:c r="M260" s="69" t="str">
        <x:v>preparation, boundaries, and reassurance</x:v>
      </x:c>
      <x:c r="N260" s="69" t="str">
        <x:v>one-to-one; one family member believes; preparation, boundaries,</x:v>
      </x:c>
      <x:c r="O260" s="69" t="str">
        <x:v>intimate, contemporary, and choice-driven</x:v>
      </x:c>
      <x:c r="P260" s="71" t="n">
        <x:v>10</x:v>
      </x:c>
      <x:c r="Q260" s="69" t="str">
        <x:v>agree on what to disclose and how to handle intrusive questions</x:v>
      </x:c>
      <x:c r="R260" s="69" t="str">
        <x:v>one family member believes you are only a coworker</x:v>
      </x:c>
      <x:c r="S260" s="69" t="str">
        <x:v>Green</x:v>
      </x:c>
      <x:c r="T260" s="69" t="str">
        <x:v>IES_v10_8_02_SCENE_CARDS.md#R20</x:v>
      </x:c>
      <x:c r="U260" s="69" t="str">
        <x:v>恋人の家族に紹介される夜</x:v>
      </x:c>
      <x:c r="V260" s="69" t="str">
        <x:v>Olivia Clark pushes on "one family member believes you are", and the whole exchange turns on preparation, boundaries, and reassurance.</x:v>
      </x:c>
      <x:c r="W260" s="69" t="str">
        <x:v>drama</x:v>
      </x:c>
    </x:row>
    <x:row r="261" ht="44" customHeight="1">
      <x:c r="A261" s="69" t="str">
        <x:v>R21</x:v>
      </x:c>
      <x:c r="B261" s="69" t="str">
        <x:v>現代恋愛・再会</x:v>
      </x:c>
      <x:c r="C261" s="69" t="str">
        <x:v>Leaving the Shared Apartment</x:v>
      </x:c>
      <x:c r="D261" s="69" t="str">
        <x:v>共同名義の部屋を出る</x:v>
      </x:c>
      <x:c r="E261" s="69" t="str">
        <x:v>Present day; an almost-empty apartment during a breakup move. No supernatural rule is added.</x:v>
      </x:c>
      <x:c r="F261" s="69" t="str">
        <x:v>the partner dividing possessions and obligations</x:v>
      </x:c>
      <x:c r="G261" s="69" t="str">
        <x:v>Ariana Moore, your former partner</x:v>
      </x:c>
      <x:c r="H261" s="69" t="str">
        <x:v>Juniper</x:v>
      </x:c>
      <x:c r="I261" s="69" t="str">
        <x:v>開放的で明るい。相談、再会、親密な会話に合う</x:v>
      </x:c>
      <x:c r="J261" s="69" t="str">
        <x:v>B1–B2</x:v>
      </x:c>
      <x:c r="K261" s="69" t="str">
        <x:v>ふつう</x:v>
      </x:c>
      <x:c r="L261" s="69" t="str">
        <x:v>2〜3文で自然に受け答え</x:v>
      </x:c>
      <x:c r="M261" s="69" t="str">
        <x:v>practical negotiation under emotion</x:v>
      </x:c>
      <x:c r="N261" s="69" t="str">
        <x:v>one-to-one; the landlord arrives in; practical negotiation under emotion</x:v>
      </x:c>
      <x:c r="O261" s="69" t="str">
        <x:v>intimate, contemporary, and choice-driven</x:v>
      </x:c>
      <x:c r="P261" s="71" t="n">
        <x:v>12</x:v>
      </x:c>
      <x:c r="Q261" s="69" t="str">
        <x:v>settle the lease, shared items, and future contact fairly</x:v>
      </x:c>
      <x:c r="R261" s="69" t="str">
        <x:v>the landlord arrives in one hour for signatures</x:v>
      </x:c>
      <x:c r="S261" s="69" t="str">
        <x:v>Green</x:v>
      </x:c>
      <x:c r="T261" s="69" t="str">
        <x:v>IES_v10_8_02_SCENE_CARDS.md#R21</x:v>
      </x:c>
      <x:c r="U261" s="69" t="str">
        <x:v>共同名義の部屋を出る</x:v>
      </x:c>
      <x:c r="V261" s="69" t="str">
        <x:v>Ariana Moore pushes on "the landlord arrives in one hour", and the whole exchange turns on practical negotiation under emotion.</x:v>
      </x:c>
      <x:c r="W261" s="69" t="str">
        <x:v>drama</x:v>
      </x:c>
    </x:row>
    <x:row r="262" ht="44" customHeight="1">
      <x:c r="A262" s="69" t="str">
        <x:v>R22</x:v>
      </x:c>
      <x:c r="B262" s="69" t="str">
        <x:v>現代恋愛・再会</x:v>
      </x:c>
      <x:c r="C262" s="69" t="str">
        <x:v>The Relationship for the Camera</x:v>
      </x:c>
      <x:c r="D262" s="69" t="str">
        <x:v>写真の中だけの恋人</x:v>
      </x:c>
      <x:c r="E262" s="69" t="str">
        <x:v>Present day; a quiet street after a couple's social-media brand becomes successful. No supernatural rule is added.</x:v>
      </x:c>
      <x:c r="F262" s="69" t="str">
        <x:v>one partner tired of performing intimacy</x:v>
      </x:c>
      <x:c r="G262" s="69" t="str">
        <x:v>Influencer Grace Hall, your public partner</x:v>
      </x:c>
      <x:c r="H262" s="69" t="str">
        <x:v>Juniper</x:v>
      </x:c>
      <x:c r="I262" s="69" t="str">
        <x:v>開放的で明るい。相談、再会、親密な会話に合う</x:v>
      </x:c>
      <x:c r="J262" s="69" t="str">
        <x:v>B2–C1</x:v>
      </x:c>
      <x:c r="K262" s="69" t="str">
        <x:v>しっかり</x:v>
      </x:c>
      <x:c r="L262" s="69" t="str">
        <x:v>理由説明や交渉まで</x:v>
      </x:c>
      <x:c r="M262" s="69" t="str">
        <x:v>authenticity, contract, and emotional boundaries</x:v>
      </x:c>
      <x:c r="N262" s="69" t="str">
        <x:v>one-to-one; a sponsored proposal video; authenticity, contract,</x:v>
      </x:c>
      <x:c r="O262" s="69" t="str">
        <x:v>intimate, contemporary, and choice-driven</x:v>
      </x:c>
      <x:c r="P262" s="71" t="n">
        <x:v>15</x:v>
      </x:c>
      <x:c r="Q262" s="69" t="str">
        <x:v>separate the real relationship from the online version</x:v>
      </x:c>
      <x:c r="R262" s="69" t="str">
        <x:v>a sponsored proposal video is scheduled tomorrow</x:v>
      </x:c>
      <x:c r="S262" s="69" t="str">
        <x:v>Green</x:v>
      </x:c>
      <x:c r="T262" s="69" t="str">
        <x:v>IES_v10_8_02_SCENE_CARDS.md#R22</x:v>
      </x:c>
      <x:c r="U262" s="69" t="str">
        <x:v>写真の中だけの恋人</x:v>
      </x:c>
      <x:c r="V262" s="69" t="str">
        <x:v>Influencer Grace Hall pushes on "a sponsored proposal video is scheduled", and the whole exchange turns on authenticity, contract, and emotional.</x:v>
      </x:c>
      <x:c r="W262" s="69" t="str">
        <x:v>drama</x:v>
      </x:c>
    </x:row>
    <x:row r="263" ht="44" customHeight="1">
      <x:c r="A263" s="69" t="str">
        <x:v>R23</x:v>
      </x:c>
      <x:c r="B263" s="69" t="str">
        <x:v>現代恋愛・再会</x:v>
      </x:c>
      <x:c r="C263" s="69" t="str">
        <x:v>Renegotiating the Chore Chart</x:v>
      </x:c>
      <x:c r="D263" s="69" t="str">
        <x:v>共働きの家事分担再交渉</x:v>
      </x:c>
      <x:c r="E263" s="69" t="str">
        <x:v>Present day; a kitchen table conversation after months of quiet resentment. No supernatural rule is added.</x:v>
      </x:c>
      <x:c r="F263" s="69" t="str">
        <x:v>the partner who finally raised the imbalance</x:v>
      </x:c>
      <x:c r="G263" s="69" t="str">
        <x:v>Naomi Cortez, your partner who insists the split feels fair</x:v>
      </x:c>
      <x:c r="H263" s="69" t="str">
        <x:v>Juniper</x:v>
      </x:c>
      <x:c r="I263" s="69" t="str">
        <x:v>開放的で明るい。相談、再会、親密な会話に合う</x:v>
      </x:c>
      <x:c r="J263" s="69" t="str">
        <x:v>A2–B2</x:v>
      </x:c>
      <x:c r="K263" s="69" t="str">
        <x:v>やさしい</x:v>
      </x:c>
      <x:c r="L263" s="69" t="str">
        <x:v>短い返事でOK。選択肢や言い換えあり</x:v>
      </x:c>
      <x:c r="M263" s="69" t="str">
        <x:v>calm renegotiation and concrete proposals</x:v>
      </x:c>
      <x:c r="N263" s="69" t="str">
        <x:v>one-to-one; a shared calendar app; calm renegotiation</x:v>
      </x:c>
      <x:c r="O263" s="69" t="str">
        <x:v>intimate, contemporary, and choice-driven</x:v>
      </x:c>
      <x:c r="P263" s="71" t="n">
        <x:v>12</x:v>
      </x:c>
      <x:c r="Q263" s="69" t="str">
        <x:v>state your experience with specifics and propose a testable new system</x:v>
      </x:c>
      <x:c r="R263" s="69" t="str">
        <x:v>a shared calendar app has just surfaced conflicting logs of who did what</x:v>
      </x:c>
      <x:c r="S263" s="69" t="str">
        <x:v>Green</x:v>
      </x:c>
      <x:c r="T263" s="69" t="str">
        <x:v>IES_v10_8_02_SCENE_CARDS.md#R23</x:v>
      </x:c>
      <x:c r="U263" s="69" t="str">
        <x:v>共働きの家事分担再交渉</x:v>
      </x:c>
      <x:c r="V263" s="69" t="str">
        <x:v>Naomi Cortez pushes on "a shared calendar app has just", and the whole exchange turns on calm renegotiation and concrete.</x:v>
      </x:c>
      <x:c r="W263" s="69" t="str">
        <x:v>drama</x:v>
      </x:c>
    </x:row>
    <x:row r="264" ht="44" customHeight="1">
      <x:c r="A264" s="69" t="str">
        <x:v>R24</x:v>
      </x:c>
      <x:c r="B264" s="69" t="str">
        <x:v>現代恋愛・再会</x:v>
      </x:c>
      <x:c r="C264" s="69" t="str">
        <x:v>The Fandom Fight</x:v>
      </x:c>
      <x:c r="D264" s="69" t="str">
        <x:v>推し活が原因の喧嘩</x:v>
      </x:c>
      <x:c r="E264" s="69" t="str">
        <x:v>Present day; a living room after a partner's convention spending surprises you. No supernatural rule is added.</x:v>
      </x:c>
      <x:c r="F264" s="69" t="str">
        <x:v>the partner questioning shared financial priorities</x:v>
      </x:c>
      <x:c r="G264" s="69" t="str">
        <x:v>Elise Marchand, your partner defending a hobby that matters to her</x:v>
      </x:c>
      <x:c r="H264" s="69" t="str">
        <x:v>Juniper</x:v>
      </x:c>
      <x:c r="I264" s="69" t="str">
        <x:v>開放的で明るい。相談、再会、親密な会話に合う</x:v>
      </x:c>
      <x:c r="J264" s="69" t="str">
        <x:v>A2–B2</x:v>
      </x:c>
      <x:c r="K264" s="69" t="str">
        <x:v>やさしい</x:v>
      </x:c>
      <x:c r="L264" s="69" t="str">
        <x:v>短い返事でOK。選択肢や言い換えあり</x:v>
      </x:c>
      <x:c r="M264" s="69" t="str">
        <x:v>financial boundaries without contempt</x:v>
      </x:c>
      <x:c r="N264" s="69" t="str">
        <x:v>one-to-one; a nonrefundable ticket purchase; financial boundaries without contempt</x:v>
      </x:c>
      <x:c r="O264" s="69" t="str">
        <x:v>intimate, contemporary, and choice-driven</x:v>
      </x:c>
      <x:c r="P264" s="71" t="n">
        <x:v>10</x:v>
      </x:c>
      <x:c r="Q264" s="69" t="str">
        <x:v>separate the money conversation from judging the hobby itself</x:v>
      </x:c>
      <x:c r="R264" s="69" t="str">
        <x:v>a nonrefundable ticket purchase already happened this morning</x:v>
      </x:c>
      <x:c r="S264" s="69" t="str">
        <x:v>Green</x:v>
      </x:c>
      <x:c r="T264" s="69" t="str">
        <x:v>IES_v10_8_02_SCENE_CARDS.md#R24</x:v>
      </x:c>
      <x:c r="U264" s="69" t="str">
        <x:v>推し活が原因の喧嘩</x:v>
      </x:c>
      <x:c r="V264" s="69" t="str">
        <x:v>Elise Marchand pushes on "a nonrefundable ticket purchase already happened", and the whole exchange turns on financial boundaries without contempt.</x:v>
      </x:c>
      <x:c r="W264" s="69" t="str">
        <x:v>drama</x:v>
      </x:c>
    </x:row>
    <x:row r="265" ht="44" customHeight="1">
      <x:c r="A265" s="69" t="str">
        <x:v>R25</x:v>
      </x:c>
      <x:c r="B265" s="69" t="str">
        <x:v>現代恋愛・再会</x:v>
      </x:c>
      <x:c r="C265" s="69" t="str">
        <x:v>The Family Secret at the Reunion</x:v>
      </x:c>
      <x:c r="D265" s="69" t="str">
        <x:v>遠い親戚が語る家族の秘密</x:v>
      </x:c>
      <x:c r="E265" s="69" t="str">
        <x:v>Present day; a family reunion picnic where an elderly relative starts talking. No supernatural rule is added.</x:v>
      </x:c>
      <x:c r="F265" s="69" t="str">
        <x:v>the relative who casually reveals a secret about your parents</x:v>
      </x:c>
      <x:c r="G265" s="69" t="str">
        <x:v>Great-Aunt Delphine Roux, unaware of the impact of her words</x:v>
      </x:c>
      <x:c r="H265" s="69" t="str">
        <x:v>Juniper</x:v>
      </x:c>
      <x:c r="I265" s="69" t="str">
        <x:v>開放的で明るい。相談、再会、親密な会話に合う</x:v>
      </x:c>
      <x:c r="J265" s="69" t="str">
        <x:v>A2–B2</x:v>
      </x:c>
      <x:c r="K265" s="69" t="str">
        <x:v>やさしい</x:v>
      </x:c>
      <x:c r="L265" s="69" t="str">
        <x:v>短い返事でOK。選択肢や言い換えあり</x:v>
      </x:c>
      <x:c r="M265" s="69" t="str">
        <x:v>careful follow-up and emotional pacing</x:v>
      </x:c>
      <x:c r="N265" s="69" t="str">
        <x:v>one-to-one; other relatives are approaching; careful follow-up</x:v>
      </x:c>
      <x:c r="O265" s="69" t="str">
        <x:v>intimate, contemporary, and choice-driven</x:v>
      </x:c>
      <x:c r="P265" s="71" t="n">
        <x:v>12</x:v>
      </x:c>
      <x:c r="Q265" s="69" t="str">
        <x:v>ask careful follow-up questions without confronting absent family</x:v>
      </x:c>
      <x:c r="R265" s="69" t="str">
        <x:v>other relatives are approaching and the topic will change</x:v>
      </x:c>
      <x:c r="S265" s="69" t="str">
        <x:v>Green</x:v>
      </x:c>
      <x:c r="T265" s="69" t="str">
        <x:v>IES_v10_8_02_SCENE_CARDS.md#R25</x:v>
      </x:c>
      <x:c r="U265" s="69" t="str">
        <x:v>遠い親戚が語る家族の秘密</x:v>
      </x:c>
      <x:c r="V265" s="69" t="str">
        <x:v>Great-Aunt Delphine Roux pushes on "other relatives are approaching and the", and the whole exchange turns on careful follow-up and emotional.</x:v>
      </x:c>
      <x:c r="W265" s="69" t="str">
        <x:v>drama</x:v>
      </x:c>
    </x:row>
    <x:row r="266" ht="44" customHeight="1">
      <x:c r="A266" s="69" t="str">
        <x:v>R26</x:v>
      </x:c>
      <x:c r="B266" s="69" t="str">
        <x:v>現代恋愛・再会</x:v>
      </x:c>
      <x:c r="C266" s="69" t="str">
        <x:v>The Wedding Announcement</x:v>
      </x:c>
      <x:c r="D266" s="69" t="str">
        <x:v>元パートナーの結婚報告</x:v>
      </x:c>
      <x:c r="E266" s="69" t="str">
        <x:v>Present day; a coffee shop after an ex reaches out with unexpected news. No supernatural rule is added.</x:v>
      </x:c>
      <x:c r="F266" s="69" t="str">
        <x:v>the person receiving the announcement in person</x:v>
      </x:c>
      <x:c r="G266" s="69" t="str">
        <x:v>Camille Beaumont, your ex who wants your genuine blessing</x:v>
      </x:c>
      <x:c r="H266" s="69" t="str">
        <x:v>Juniper</x:v>
      </x:c>
      <x:c r="I266" s="69" t="str">
        <x:v>開放的で明るい。相談、再会、親密な会話に合う</x:v>
      </x:c>
      <x:c r="J266" s="69" t="str">
        <x:v>A2–B2</x:v>
      </x:c>
      <x:c r="K266" s="69" t="str">
        <x:v>やさしい</x:v>
      </x:c>
      <x:c r="L266" s="69" t="str">
        <x:v>短い返事でOK。選択肢や言い換えあり</x:v>
      </x:c>
      <x:c r="M266" s="69" t="str">
        <x:v>emotional honesty and graceful response</x:v>
      </x:c>
      <x:c r="N266" s="69" t="str">
        <x:v>one-to-one; camille is watching your; emotional honesty</x:v>
      </x:c>
      <x:c r="O266" s="69" t="str">
        <x:v>intimate, contemporary, and choice-driven</x:v>
      </x:c>
      <x:c r="P266" s="71" t="n">
        <x:v>10</x:v>
      </x:c>
      <x:c r="Q266" s="69" t="str">
        <x:v>respond honestly while managing your own feelings gracefully</x:v>
      </x:c>
      <x:c r="R266" s="69" t="str">
        <x:v>Camille is watching your face closely for a reaction</x:v>
      </x:c>
      <x:c r="S266" s="69" t="str">
        <x:v>Green</x:v>
      </x:c>
      <x:c r="T266" s="69" t="str">
        <x:v>IES_v10_8_02_SCENE_CARDS.md#R26</x:v>
      </x:c>
      <x:c r="U266" s="69" t="str">
        <x:v>元パートナーの結婚報告</x:v>
      </x:c>
      <x:c r="V266" s="69" t="str">
        <x:v>Camille Beaumont pushes on "camille is watching your face closely", and the whole exchange turns on emotional honesty and graceful.</x:v>
      </x:c>
      <x:c r="W266" s="69" t="str">
        <x:v>drama</x:v>
      </x:c>
    </x:row>
    <x:row r="267" ht="44" customHeight="1">
      <x:c r="A267" s="69" t="str">
        <x:v>R27</x:v>
      </x:c>
      <x:c r="B267" s="69" t="str">
        <x:v>現代恋愛・再会</x:v>
      </x:c>
      <x:c r="C267" s="69" t="str">
        <x:v>Seeing Her After Weeks of Silence</x:v>
      </x:c>
      <x:c r="D267" s="69" t="str">
        <x:v>既読無視が続いた後の再会</x:v>
      </x:c>
      <x:c r="E267" s="69" t="str">
        <x:v>Present day; a mutual friend's small gathering after one side stopped replying. No supernatural rule is added.</x:v>
      </x:c>
      <x:c r="F267" s="69" t="str">
        <x:v>the person who unintentionally went quiet during a hard month</x:v>
      </x:c>
      <x:c r="G267" s="69" t="str">
        <x:v>Ines Castellano, hurt but willing to hear an honest explanation</x:v>
      </x:c>
      <x:c r="H267" s="69" t="str">
        <x:v>Juniper</x:v>
      </x:c>
      <x:c r="I267" s="69" t="str">
        <x:v>開放的で明るい。相談、再会、親密な会話に合う</x:v>
      </x:c>
      <x:c r="J267" s="69" t="str">
        <x:v>A2–B2</x:v>
      </x:c>
      <x:c r="K267" s="69" t="str">
        <x:v>やさしい</x:v>
      </x:c>
      <x:c r="L267" s="69" t="str">
        <x:v>短い返事でOK。選択肢や言い換えあり</x:v>
      </x:c>
      <x:c r="M267" s="69" t="str">
        <x:v>honest explanation and relationship repair</x:v>
      </x:c>
      <x:c r="N267" s="69" t="str">
        <x:v>one-to-one; other guests keep interrupting; honest explanation</x:v>
      </x:c>
      <x:c r="O267" s="69" t="str">
        <x:v>intimate, contemporary, and choice-driven</x:v>
      </x:c>
      <x:c r="P267" s="71" t="n">
        <x:v>10</x:v>
      </x:c>
      <x:c r="Q267" s="69" t="str">
        <x:v>explain the silence honestly without over-justifying it</x:v>
      </x:c>
      <x:c r="R267" s="69" t="str">
        <x:v>other guests keep interrupting the conversation you need to finish</x:v>
      </x:c>
      <x:c r="S267" s="69" t="str">
        <x:v>Green</x:v>
      </x:c>
      <x:c r="T267" s="69" t="str">
        <x:v>IES_v10_8_02_SCENE_CARDS.md#R27</x:v>
      </x:c>
      <x:c r="U267" s="69" t="str">
        <x:v>既読無視が続いた後の再会</x:v>
      </x:c>
      <x:c r="V267" s="69" t="str">
        <x:v>Ines Castellano pushes on "other guests keep interrupting the conversation", and the whole exchange turns on honest explanation and relationship.</x:v>
      </x:c>
      <x:c r="W267" s="69" t="str">
        <x:v>drama</x:v>
      </x:c>
    </x:row>
    <x:row r="268" ht="44" customHeight="1">
      <x:c r="A268" s="69" t="str">
        <x:v>H01</x:v>
      </x:c>
      <x:c r="B268" s="69" t="str">
        <x:v>家族・近隣・日常</x:v>
      </x:c>
      <x:c r="C268" s="69" t="str">
        <x:v>The Midnight Noise</x:v>
      </x:c>
      <x:c r="D268" s="69" t="str">
        <x:v>隣人の深夜騒音</x:v>
      </x:c>
      <x:c r="E268" s="69" t="str">
        <x:v>Present day; an apartment hallway after repeated sleep disruption. No supernatural rule is added.</x:v>
      </x:c>
      <x:c r="F268" s="69" t="str">
        <x:v>the resident confronting a neighbor directly</x:v>
      </x:c>
      <x:c r="G268" s="69" t="str">
        <x:v>Neighbor Maya Foster, unaware of how far the sound travels</x:v>
      </x:c>
      <x:c r="H268" s="69" t="str">
        <x:v>Juniper</x:v>
      </x:c>
      <x:c r="I268" s="69" t="str">
        <x:v>開放的で明るい。相談、再会、親密な会話に合う</x:v>
      </x:c>
      <x:c r="J268" s="69" t="str">
        <x:v>A2–B1</x:v>
      </x:c>
      <x:c r="K268" s="69" t="str">
        <x:v>やさしい</x:v>
      </x:c>
      <x:c r="L268" s="69" t="str">
        <x:v>短い返事でOK。選択肢や言い換えあり</x:v>
      </x:c>
      <x:c r="M268" s="69" t="str">
        <x:v>neighborly negotiation and compromise</x:v>
      </x:c>
      <x:c r="N268" s="69" t="str">
        <x:v>one-to-one; both of you have; neighborly negotiation</x:v>
      </x:c>
      <x:c r="O268" s="69" t="str">
        <x:v>domestic, recognizable, and quietly consequential</x:v>
      </x:c>
      <x:c r="P268" s="71" t="n">
        <x:v>10</x:v>
      </x:c>
      <x:c r="Q268" s="69" t="str">
        <x:v>describe the impact and agree on testable quiet-hour rules</x:v>
      </x:c>
      <x:c r="R268" s="69" t="str">
        <x:v>both of you have already complained to management</x:v>
      </x:c>
      <x:c r="S268" s="69" t="str">
        <x:v>Green</x:v>
      </x:c>
      <x:c r="T268" s="69" t="str">
        <x:v>IES_v10_8_02_SCENE_CARDS.md#H01</x:v>
      </x:c>
      <x:c r="U268" s="69" t="str">
        <x:v>隣人の深夜騒音</x:v>
      </x:c>
      <x:c r="V268" s="69" t="str">
        <x:v>Neighbor Maya Foster pushes on "both of you have already complained", and the whole exchange turns on neighborly negotiation and compromise.</x:v>
      </x:c>
      <x:c r="W268" s="69" t="str">
        <x:v>drama</x:v>
      </x:c>
    </x:row>
    <x:row r="269" ht="44" customHeight="1">
      <x:c r="A269" s="69" t="str">
        <x:v>H02</x:v>
      </x:c>
      <x:c r="B269" s="69" t="str">
        <x:v>家族・近隣・日常</x:v>
      </x:c>
      <x:c r="C269" s="69" t="str">
        <x:v>The Care Schedule</x:v>
      </x:c>
      <x:c r="D269" s="69" t="str">
        <x:v>家族会議の介護分担</x:v>
      </x:c>
      <x:c r="E269" s="69" t="str">
        <x:v>Present day; a family kitchen while planning support for an aging parent. No supernatural rule is added.</x:v>
      </x:c>
      <x:c r="F269" s="69" t="str">
        <x:v>the sibling asked to take most responsibilities</x:v>
      </x:c>
      <x:c r="G269" s="69" t="str">
        <x:v>Sister Elena Brooks, who believes her workload is already heavier</x:v>
      </x:c>
      <x:c r="H269" s="69" t="str">
        <x:v>Juniper</x:v>
      </x:c>
      <x:c r="I269" s="69" t="str">
        <x:v>開放的で明るい。相談、再会、親密な会話に合う</x:v>
      </x:c>
      <x:c r="J269" s="69" t="str">
        <x:v>B1–B2</x:v>
      </x:c>
      <x:c r="K269" s="69" t="str">
        <x:v>ふつう</x:v>
      </x:c>
      <x:c r="L269" s="69" t="str">
        <x:v>2〜3文で自然に受け答え</x:v>
      </x:c>
      <x:c r="M269" s="69" t="str">
        <x:v>family negotiation and concrete commitments</x:v>
      </x:c>
      <x:c r="N269" s="69" t="str">
        <x:v>one-to-one; a medical appointment is; family negotiation</x:v>
      </x:c>
      <x:c r="O269" s="69" t="str">
        <x:v>domestic, recognizable, and quietly consequential</x:v>
      </x:c>
      <x:c r="P269" s="71" t="n">
        <x:v>15</x:v>
      </x:c>
      <x:c r="Q269" s="69" t="str">
        <x:v>make invisible work explicit and agree on a fair schedule</x:v>
      </x:c>
      <x:c r="R269" s="69" t="str">
        <x:v>a medical appointment is tomorrow morning</x:v>
      </x:c>
      <x:c r="S269" s="69" t="str">
        <x:v>Green</x:v>
      </x:c>
      <x:c r="T269" s="69" t="str">
        <x:v>IES_v10_8_02_SCENE_CARDS.md#H02</x:v>
      </x:c>
      <x:c r="U269" s="69" t="str">
        <x:v>家族会議の介護分担</x:v>
      </x:c>
      <x:c r="V269" s="69" t="str">
        <x:v>Sister Elena Brooks pushes on "a medical appointment is tomorrow morning", and the whole exchange turns on family negotiation and concrete.</x:v>
      </x:c>
      <x:c r="W269" s="69" t="str">
        <x:v>drama</x:v>
      </x:c>
    </x:row>
    <x:row r="270" ht="44" customHeight="1">
      <x:c r="A270" s="69" t="str">
        <x:v>H03</x:v>
      </x:c>
      <x:c r="B270" s="69" t="str">
        <x:v>家族・近隣・日常</x:v>
      </x:c>
      <x:c r="C270" s="69" t="str">
        <x:v>The Dog with Two Names</x:v>
      </x:c>
      <x:c r="D270" s="69" t="str">
        <x:v>迷子の犬と飼い主候補</x:v>
      </x:c>
      <x:c r="E270" s="69" t="str">
        <x:v>Present day; a neighborhood park after two people claim the same lost dog. No supernatural rule is added.</x:v>
      </x:c>
      <x:c r="F270" s="69" t="str">
        <x:v>the person who found the dog</x:v>
      </x:c>
      <x:c r="G270" s="69" t="str">
        <x:v>Rachel Kim, one claimant with convincing photos</x:v>
      </x:c>
      <x:c r="H270" s="69" t="str">
        <x:v>Juniper</x:v>
      </x:c>
      <x:c r="I270" s="69" t="str">
        <x:v>開放的で明るい。相談、再会、親密な会話に合う</x:v>
      </x:c>
      <x:c r="J270" s="69" t="str">
        <x:v>A2–B1</x:v>
      </x:c>
      <x:c r="K270" s="69" t="str">
        <x:v>やさしい</x:v>
      </x:c>
      <x:c r="L270" s="69" t="str">
        <x:v>短い返事でOK。選択肢や言い換えあり</x:v>
      </x:c>
      <x:c r="M270" s="69" t="str">
        <x:v>evidence questions and calm mediation</x:v>
      </x:c>
      <x:c r="N270" s="69" t="str">
        <x:v>one-to-one; the dog's microchip service; evidence questions</x:v>
      </x:c>
      <x:c r="O270" s="69" t="str">
        <x:v>domestic, recognizable, and quietly consequential</x:v>
      </x:c>
      <x:c r="P270" s="71" t="n">
        <x:v>10</x:v>
      </x:c>
      <x:c r="Q270" s="69" t="str">
        <x:v>verify ownership without escalating conflict</x:v>
      </x:c>
      <x:c r="R270" s="69" t="str">
        <x:v>the dog's microchip service is temporarily offline</x:v>
      </x:c>
      <x:c r="S270" s="69" t="str">
        <x:v>Green</x:v>
      </x:c>
      <x:c r="T270" s="69" t="str">
        <x:v>IES_v10_8_02_SCENE_CARDS.md#H03</x:v>
      </x:c>
      <x:c r="U270" s="69" t="str">
        <x:v>迷子の犬と飼い主候補</x:v>
      </x:c>
      <x:c r="V270" s="69" t="str">
        <x:v>Rachel Kim pushes on "the dog's microchip service is temporarily", and the whole exchange turns on evidence questions and calm.</x:v>
      </x:c>
      <x:c r="W270" s="69" t="str">
        <x:v>drama</x:v>
      </x:c>
    </x:row>
    <x:row r="271" ht="44" customHeight="1">
      <x:c r="A271" s="69" t="str">
        <x:v>H04</x:v>
      </x:c>
      <x:c r="B271" s="69" t="str">
        <x:v>家族・近隣・日常</x:v>
      </x:c>
      <x:c r="C271" s="69" t="str">
        <x:v>Cancel the Street Festival?</x:v>
      </x:c>
      <x:c r="D271" s="69" t="str">
        <x:v>町内会の祭り中止案</x:v>
      </x:c>
      <x:c r="E271" s="69" t="str">
        <x:v>Present day; a community-center planning meeting. No supernatural rule is added.</x:v>
      </x:c>
      <x:c r="F271" s="69" t="str">
        <x:v>the volunteer responsible for safety</x:v>
      </x:c>
      <x:c r="G271" s="69" t="str">
        <x:v>Chairwoman Lisa Grant, determined to continue the annual festival</x:v>
      </x:c>
      <x:c r="H271" s="69" t="str">
        <x:v>Juniper</x:v>
      </x:c>
      <x:c r="I271" s="69" t="str">
        <x:v>開放的で明るい。相談、再会、親密な会話に合う</x:v>
      </x:c>
      <x:c r="J271" s="69" t="str">
        <x:v>B1–B2</x:v>
      </x:c>
      <x:c r="K271" s="69" t="str">
        <x:v>ふつう</x:v>
      </x:c>
      <x:c r="L271" s="69" t="str">
        <x:v>2〜3文で自然に受け答え</x:v>
      </x:c>
      <x:c r="M271" s="69" t="str">
        <x:v>community persuasion and alternatives</x:v>
      </x:c>
      <x:c r="N271" s="69" t="str">
        <x:v>one-to-one; vendors will lose deposits; community persuasion</x:v>
      </x:c>
      <x:c r="O271" s="69" t="str">
        <x:v>domestic, recognizable, and quietly consequential</x:v>
      </x:c>
      <x:c r="P271" s="71" t="n">
        <x:v>12</x:v>
      </x:c>
      <x:c r="Q271" s="69" t="str">
        <x:v>present the risk and propose a smaller alternative</x:v>
      </x:c>
      <x:c r="R271" s="69" t="str">
        <x:v>vendors will lose deposits if the decision waits another day</x:v>
      </x:c>
      <x:c r="S271" s="69" t="str">
        <x:v>Green</x:v>
      </x:c>
      <x:c r="T271" s="69" t="str">
        <x:v>IES_v10_8_02_SCENE_CARDS.md#H04</x:v>
      </x:c>
      <x:c r="U271" s="69" t="str">
        <x:v>町内会の祭り中止案</x:v>
      </x:c>
      <x:c r="V271" s="69" t="str">
        <x:v>Chairwoman Lisa Grant pushes on "vendors will lose deposits if the", and the whole exchange turns on community persuasion and alternatives.</x:v>
      </x:c>
      <x:c r="W271" s="69" t="str">
        <x:v>drama</x:v>
      </x:c>
    </x:row>
    <x:row r="272" ht="44" customHeight="1">
      <x:c r="A272" s="69" t="str">
        <x:v>H05</x:v>
      </x:c>
      <x:c r="B272" s="69" t="str">
        <x:v>家族・近隣・日常</x:v>
      </x:c>
      <x:c r="C272" s="69" t="str">
        <x:v>The Box from the Attic</x:v>
      </x:c>
      <x:c r="D272" s="69" t="str">
        <x:v>姉妹で分ける遺品</x:v>
      </x:c>
      <x:c r="E272" s="69" t="str">
        <x:v>Present day; a family home after a funeral. No supernatural rule is added.</x:v>
      </x:c>
      <x:c r="F272" s="69" t="str">
        <x:v>the sibling sorting meaningful belongings</x:v>
      </x:c>
      <x:c r="G272" s="69" t="str">
        <x:v>Sister Hannah Cole, who wants one item you also value</x:v>
      </x:c>
      <x:c r="H272" s="69" t="str">
        <x:v>Juniper</x:v>
      </x:c>
      <x:c r="I272" s="69" t="str">
        <x:v>開放的で明るい。相談、再会、親密な会話に合う</x:v>
      </x:c>
      <x:c r="J272" s="69" t="str">
        <x:v>B1–B2</x:v>
      </x:c>
      <x:c r="K272" s="69" t="str">
        <x:v>ふつう</x:v>
      </x:c>
      <x:c r="L272" s="69" t="str">
        <x:v>2〜3文で自然に受け答え</x:v>
      </x:c>
      <x:c r="M272" s="69" t="str">
        <x:v>emotional explanation and fair process</x:v>
      </x:c>
      <x:c r="N272" s="69" t="str">
        <x:v>one-to-one; the house must be; emotional explanation</x:v>
      </x:c>
      <x:c r="O272" s="69" t="str">
        <x:v>domestic, recognizable, and quietly consequential</x:v>
      </x:c>
      <x:c r="P272" s="71" t="n">
        <x:v>12</x:v>
      </x:c>
      <x:c r="Q272" s="69" t="str">
        <x:v>explain the item's meaning and find a fair way to decide</x:v>
      </x:c>
      <x:c r="R272" s="69" t="str">
        <x:v>the house must be cleared by evening</x:v>
      </x:c>
      <x:c r="S272" s="69" t="str">
        <x:v>Green</x:v>
      </x:c>
      <x:c r="T272" s="69" t="str">
        <x:v>IES_v10_8_02_SCENE_CARDS.md#H05</x:v>
      </x:c>
      <x:c r="U272" s="69" t="str">
        <x:v>姉妹で分ける遺品</x:v>
      </x:c>
      <x:c r="V272" s="69" t="str">
        <x:v>Sister Hannah Cole pushes on "the house must be cleared by", and the whole exchange turns on emotional explanation and fair.</x:v>
      </x:c>
      <x:c r="W272" s="69" t="str">
        <x:v>drama</x:v>
      </x:c>
    </x:row>
    <x:row r="273" ht="44" customHeight="1">
      <x:c r="A273" s="69" t="str">
        <x:v>H06</x:v>
      </x:c>
      <x:c r="B273" s="69" t="str">
        <x:v>家族・近隣・日常</x:v>
      </x:c>
      <x:c r="C273" s="69" t="str">
        <x:v>The Last-Minute Request</x:v>
      </x:c>
      <x:c r="D273" s="69" t="str">
        <x:v>ベビーシッターの境界線</x:v>
      </x:c>
      <x:c r="E273" s="69" t="str">
        <x:v>Present day; a family doorway when parents are unexpectedly delayed. No supernatural rule is added.</x:v>
      </x:c>
      <x:c r="F273" s="69" t="str">
        <x:v>the babysitter asked to stay much longer than agreed</x:v>
      </x:c>
      <x:c r="G273" s="69" t="str">
        <x:v>Parent Julia Reed, calling from another city</x:v>
      </x:c>
      <x:c r="H273" s="69" t="str">
        <x:v>Breeze</x:v>
      </x:c>
      <x:c r="I273" s="69" t="str">
        <x:v>表情豊かで真剣。緊迫、怪異、冒険に合う</x:v>
      </x:c>
      <x:c r="J273" s="69" t="str">
        <x:v>A2–B1</x:v>
      </x:c>
      <x:c r="K273" s="69" t="str">
        <x:v>やさしい</x:v>
      </x:c>
      <x:c r="L273" s="69" t="str">
        <x:v>短い返事でOK。選択肢や言い換えあり</x:v>
      </x:c>
      <x:c r="M273" s="69" t="str">
        <x:v>professional boundaries and emergency planning</x:v>
      </x:c>
      <x:c r="N273" s="69" t="str">
        <x:v>one-to-one; the current shift has; professional boundaries</x:v>
      </x:c>
      <x:c r="O273" s="69" t="str">
        <x:v>domestic, recognizable, and quietly consequential</x:v>
      </x:c>
      <x:c r="P273" s="71" t="n">
        <x:v>10</x:v>
      </x:c>
      <x:c r="Q273" s="69" t="str">
        <x:v>set limits and arrange safe backup care</x:v>
      </x:c>
      <x:c r="R273" s="69" t="str">
        <x:v>the current shift has already exceeded the contract by hours</x:v>
      </x:c>
      <x:c r="S273" s="69" t="str">
        <x:v>Green</x:v>
      </x:c>
      <x:c r="T273" s="69" t="str">
        <x:v>IES_v10_8_02_SCENE_CARDS.md#H06</x:v>
      </x:c>
      <x:c r="U273" s="69" t="str">
        <x:v>ベビーシッターの境界線</x:v>
      </x:c>
      <x:c r="V273" s="69" t="str">
        <x:v>Parent Julia Reed pushes on "the current shift has already exceeded", and the whole exchange turns on professional boundaries and emergency.</x:v>
      </x:c>
      <x:c r="W273" s="69" t="str">
        <x:v>drama</x:v>
      </x:c>
    </x:row>
    <x:row r="274" ht="44" customHeight="1">
      <x:c r="A274" s="69" t="str">
        <x:v>H07</x:v>
      </x:c>
      <x:c r="B274" s="69" t="str">
        <x:v>家族・近隣・日常</x:v>
      </x:c>
      <x:c r="C274" s="69" t="str">
        <x:v>The Shared Fridge Dispute</x:v>
      </x:c>
      <x:c r="D274" s="69" t="str">
        <x:v>シェアハウスの冷蔵庫裁判</x:v>
      </x:c>
      <x:c r="E274" s="69" t="str">
        <x:v>Present day; a shared-house kitchen after food repeatedly disappears. No supernatural rule is added.</x:v>
      </x:c>
      <x:c r="F274" s="69" t="str">
        <x:v>the resident proposing a new system</x:v>
      </x:c>
      <x:c r="G274" s="69" t="str">
        <x:v>Housemate Nina Patel, accused without proof</x:v>
      </x:c>
      <x:c r="H274" s="69" t="str">
        <x:v>Juniper</x:v>
      </x:c>
      <x:c r="I274" s="69" t="str">
        <x:v>開放的で明るい。相談、再会、親密な会話に合う</x:v>
      </x:c>
      <x:c r="J274" s="69" t="str">
        <x:v>A2–B1</x:v>
      </x:c>
      <x:c r="K274" s="69" t="str">
        <x:v>やさしい</x:v>
      </x:c>
      <x:c r="L274" s="69" t="str">
        <x:v>短い返事でOK。選択肢や言い換えあり</x:v>
      </x:c>
      <x:c r="M274" s="69" t="str">
        <x:v>household mediation and apology</x:v>
      </x:c>
      <x:c r="N274" s="69" t="str">
        <x:v>one-to-one; someone has posted an; household mediation</x:v>
      </x:c>
      <x:c r="O274" s="69" t="str">
        <x:v>domestic, recognizable, and quietly consequential</x:v>
      </x:c>
      <x:c r="P274" s="71" t="n">
        <x:v>10</x:v>
      </x:c>
      <x:c r="Q274" s="69" t="str">
        <x:v>separate facts from assumptions and agree on fair rules</x:v>
      </x:c>
      <x:c r="R274" s="69" t="str">
        <x:v>someone has posted an angry note naming Nina</x:v>
      </x:c>
      <x:c r="S274" s="69" t="str">
        <x:v>Green</x:v>
      </x:c>
      <x:c r="T274" s="69" t="str">
        <x:v>IES_v10_8_02_SCENE_CARDS.md#H07</x:v>
      </x:c>
      <x:c r="U274" s="69" t="str">
        <x:v>シェアハウスの冷蔵庫裁判</x:v>
      </x:c>
      <x:c r="V274" s="69" t="str">
        <x:v>Housemate Nina Patel pushes on "someone has posted an angry note", and the whole exchange turns on household mediation and apology.</x:v>
      </x:c>
      <x:c r="W274" s="69" t="str">
        <x:v>drama</x:v>
      </x:c>
    </x:row>
    <x:row r="275" ht="44" customHeight="1">
      <x:c r="A275" s="69" t="str">
        <x:v>H08</x:v>
      </x:c>
      <x:c r="B275" s="69" t="str">
        <x:v>家族・近隣・日常</x:v>
      </x:c>
      <x:c r="C275" s="69" t="str">
        <x:v>The Career Change at Dinner</x:v>
      </x:c>
      <x:c r="D275" s="69" t="str">
        <x:v>親に言えない進路変更</x:v>
      </x:c>
      <x:c r="E275" s="69" t="str">
        <x:v>Present day; a family dinner where you plan to reveal a major decision. No supernatural rule is added.</x:v>
      </x:c>
      <x:c r="F275" s="69" t="str">
        <x:v>the adult child leaving a prestigious career path</x:v>
      </x:c>
      <x:c r="G275" s="69" t="str">
        <x:v>Mother Maria Chen, proud and strongly opposed</x:v>
      </x:c>
      <x:c r="H275" s="69" t="str">
        <x:v>Juniper</x:v>
      </x:c>
      <x:c r="I275" s="69" t="str">
        <x:v>開放的で明るい。相談、再会、親密な会話に合う</x:v>
      </x:c>
      <x:c r="J275" s="69" t="str">
        <x:v>B1–B2</x:v>
      </x:c>
      <x:c r="K275" s="69" t="str">
        <x:v>ふつう</x:v>
      </x:c>
      <x:c r="L275" s="69" t="str">
        <x:v>2〜3文で自然に受け答え</x:v>
      </x:c>
      <x:c r="M275" s="69" t="str">
        <x:v>personal explanation and resisting pressure</x:v>
      </x:c>
      <x:c r="N275" s="69" t="str">
        <x:v>one-to-one; the new program begins; personal explanation</x:v>
      </x:c>
      <x:c r="O275" s="69" t="str">
        <x:v>domestic, recognizable, and quietly consequential</x:v>
      </x:c>
      <x:c r="P275" s="71" t="n">
        <x:v>12</x:v>
      </x:c>
      <x:c r="Q275" s="69" t="str">
        <x:v>explain the reasons and ask for respect without demanding approval</x:v>
      </x:c>
      <x:c r="R275" s="69" t="str">
        <x:v>the new program begins next week</x:v>
      </x:c>
      <x:c r="S275" s="69" t="str">
        <x:v>Green</x:v>
      </x:c>
      <x:c r="T275" s="69" t="str">
        <x:v>IES_v10_8_02_SCENE_CARDS.md#H08</x:v>
      </x:c>
      <x:c r="U275" s="69" t="str">
        <x:v>親に言えない進路変更</x:v>
      </x:c>
      <x:c r="V275" s="69" t="str">
        <x:v>Mother Maria Chen pushes on "the new program begins next week", and the whole exchange turns on personal explanation and resisting.</x:v>
      </x:c>
      <x:c r="W275" s="69" t="str">
        <x:v>drama</x:v>
      </x:c>
    </x:row>
    <x:row r="276" ht="44" customHeight="1">
      <x:c r="A276" s="69" t="str">
        <x:v>H09</x:v>
      </x:c>
      <x:c r="B276" s="69" t="str">
        <x:v>家族・近隣・日常</x:v>
      </x:c>
      <x:c r="C276" s="69" t="str">
        <x:v>The Drill Nobody Wants</x:v>
      </x:c>
      <x:c r="D276" s="69" t="str">
        <x:v>自治体の避難訓練で対立</x:v>
      </x:c>
      <x:c r="E276" s="69" t="str">
        <x:v>Present day; an apartment lobby before a mandatory safety drill. No supernatural rule is added.</x:v>
      </x:c>
      <x:c r="F276" s="69" t="str">
        <x:v>the resident volunteer coordinating the event</x:v>
      </x:c>
      <x:c r="G276" s="69" t="str">
        <x:v>Neighbor Claire Evans, representing residents who refuse to join</x:v>
      </x:c>
      <x:c r="H276" s="69" t="str">
        <x:v>Juniper</x:v>
      </x:c>
      <x:c r="I276" s="69" t="str">
        <x:v>開放的で明るい。相談、再会、親密な会話に合う</x:v>
      </x:c>
      <x:c r="J276" s="69" t="str">
        <x:v>B1–B2</x:v>
      </x:c>
      <x:c r="K276" s="69" t="str">
        <x:v>ふつう</x:v>
      </x:c>
      <x:c r="L276" s="69" t="str">
        <x:v>2〜3文で自然に受け答え</x:v>
      </x:c>
      <x:c r="M276" s="69" t="str">
        <x:v>community explanation and accommodation</x:v>
      </x:c>
      <x:c r="N276" s="69" t="str">
        <x:v>one-to-one; the building recently failed; community explanation</x:v>
      </x:c>
      <x:c r="O276" s="69" t="str">
        <x:v>domestic, recognizable, and quietly consequential</x:v>
      </x:c>
      <x:c r="P276" s="71" t="n">
        <x:v>10</x:v>
      </x:c>
      <x:c r="Q276" s="69" t="str">
        <x:v>understand objections and redesign the drill for access needs</x:v>
      </x:c>
      <x:c r="R276" s="69" t="str">
        <x:v>the building recently failed an inspection</x:v>
      </x:c>
      <x:c r="S276" s="69" t="str">
        <x:v>Green</x:v>
      </x:c>
      <x:c r="T276" s="69" t="str">
        <x:v>IES_v10_8_02_SCENE_CARDS.md#H09</x:v>
      </x:c>
      <x:c r="U276" s="69" t="str">
        <x:v>自治体の避難訓練で対立</x:v>
      </x:c>
      <x:c r="V276" s="69" t="str">
        <x:v>Neighbor Claire Evans pushes on "the building recently failed an inspection", and the whole exchange turns on community explanation and accommodation.</x:v>
      </x:c>
      <x:c r="W276" s="69" t="str">
        <x:v>drama</x:v>
      </x:c>
    </x:row>
    <x:row r="277" ht="44" customHeight="1">
      <x:c r="A277" s="69" t="str">
        <x:v>H10</x:v>
      </x:c>
      <x:c r="B277" s="69" t="str">
        <x:v>家族・近隣・日常</x:v>
      </x:c>
      <x:c r="C277" s="69" t="str">
        <x:v>The Package from an Old Friend</x:v>
      </x:c>
      <x:c r="D277" s="69" t="str">
        <x:v>昔の友達から届いた荷物</x:v>
      </x:c>
      <x:c r="E277" s="69" t="str">
        <x:v>Present day; a front porch after an unexpected delivery. No supernatural rule is added.</x:v>
      </x:c>
      <x:c r="F277" s="69" t="str">
        <x:v>the recipient calling the sender after years apart</x:v>
      </x:c>
      <x:c r="G277" s="69" t="str">
        <x:v>Tessa Morgan, your former best friend</x:v>
      </x:c>
      <x:c r="H277" s="69" t="str">
        <x:v>Juniper</x:v>
      </x:c>
      <x:c r="I277" s="69" t="str">
        <x:v>開放的で明るい。相談、再会、親密な会話に合う</x:v>
      </x:c>
      <x:c r="J277" s="69" t="str">
        <x:v>B1–B2</x:v>
      </x:c>
      <x:c r="K277" s="69" t="str">
        <x:v>ふつう</x:v>
      </x:c>
      <x:c r="L277" s="69" t="str">
        <x:v>2〜3文で自然に受け答え</x:v>
      </x:c>
      <x:c r="M277" s="69" t="str">
        <x:v>reunion questions and emotional boundaries</x:v>
      </x:c>
      <x:c r="N277" s="69" t="str">
        <x:v>one-to-one; the package contains a; reunion questions</x:v>
      </x:c>
      <x:c r="O277" s="69" t="str">
        <x:v>domestic, recognizable, and quietly consequential</x:v>
      </x:c>
      <x:c r="P277" s="71" t="n">
        <x:v>12</x:v>
      </x:c>
      <x:c r="Q277" s="69" t="str">
        <x:v>ask why the item was returned and whether she wants contact</x:v>
      </x:c>
      <x:c r="R277" s="69" t="str">
        <x:v>the package contains a shared memory you thought was lost</x:v>
      </x:c>
      <x:c r="S277" s="69" t="str">
        <x:v>Green</x:v>
      </x:c>
      <x:c r="T277" s="69" t="str">
        <x:v>IES_v10_8_02_SCENE_CARDS.md#H10</x:v>
      </x:c>
      <x:c r="U277" s="69" t="str">
        <x:v>昔の友達から届いた荷物</x:v>
      </x:c>
      <x:c r="V277" s="69" t="str">
        <x:v>Tessa Morgan pushes on "the package contains a shared memory", and the whole exchange turns on reunion questions and emotional.</x:v>
      </x:c>
      <x:c r="W277" s="69" t="str">
        <x:v>drama</x:v>
      </x:c>
    </x:row>
    <x:row r="278" ht="44" customHeight="1">
      <x:c r="A278" s="69" t="str">
        <x:v>H11</x:v>
      </x:c>
      <x:c r="B278" s="69" t="str">
        <x:v>家族・近隣・日常</x:v>
      </x:c>
      <x:c r="C278" s="69" t="str">
        <x:v>The Secret Cat</x:v>
      </x:c>
      <x:c r="D278" s="69" t="str">
        <x:v>ペット禁止の建物</x:v>
      </x:c>
      <x:c r="E278" s="69" t="str">
        <x:v>Present day; an apartment manager's office after a hidden pet is discovered. No supernatural rule is added.</x:v>
      </x:c>
      <x:c r="F278" s="69" t="str">
        <x:v>the tenant facing a lease violation</x:v>
      </x:c>
      <x:c r="G278" s="69" t="str">
        <x:v>Manager Sofia Lewis, sympathetic but responsible for enforcement</x:v>
      </x:c>
      <x:c r="H278" s="69" t="str">
        <x:v>Juniper</x:v>
      </x:c>
      <x:c r="I278" s="69" t="str">
        <x:v>開放的で明るい。相談、再会、親密な会話に合う</x:v>
      </x:c>
      <x:c r="J278" s="69" t="str">
        <x:v>B1–B2</x:v>
      </x:c>
      <x:c r="K278" s="69" t="str">
        <x:v>ふつう</x:v>
      </x:c>
      <x:c r="L278" s="69" t="str">
        <x:v>2〜3文で自然に受け答え</x:v>
      </x:c>
      <x:c r="M278" s="69" t="str">
        <x:v>housing negotiation and responsibility</x:v>
      </x:c>
      <x:c r="N278" s="69" t="str">
        <x:v>one-to-one; formal eviction review starts; housing negotiation</x:v>
      </x:c>
      <x:c r="O278" s="69" t="str">
        <x:v>domestic, recognizable, and quietly consequential</x:v>
      </x:c>
      <x:c r="P278" s="71" t="n">
        <x:v>12</x:v>
      </x:c>
      <x:c r="Q278" s="69" t="str">
        <x:v>explain the situation and propose a compliant solution</x:v>
      </x:c>
      <x:c r="R278" s="69" t="str">
        <x:v>formal eviction review starts tomorrow</x:v>
      </x:c>
      <x:c r="S278" s="69" t="str">
        <x:v>Green</x:v>
      </x:c>
      <x:c r="T278" s="69" t="str">
        <x:v>IES_v10_8_02_SCENE_CARDS.md#H11</x:v>
      </x:c>
      <x:c r="U278" s="69" t="str">
        <x:v>ペット禁止の建物</x:v>
      </x:c>
      <x:c r="V278" s="69" t="str">
        <x:v>Manager Sofia Lewis pushes on "formal eviction review starts tomorrow", and the whole exchange turns on housing negotiation and responsibility.</x:v>
      </x:c>
      <x:c r="W278" s="69" t="str">
        <x:v>drama</x:v>
      </x:c>
    </x:row>
    <x:row r="279" ht="44" customHeight="1">
      <x:c r="A279" s="69" t="str">
        <x:v>H12</x:v>
      </x:c>
      <x:c r="B279" s="69" t="str">
        <x:v>家族・近隣・日常</x:v>
      </x:c>
      <x:c r="C279" s="69" t="str">
        <x:v>The Missing Person in the Album</x:v>
      </x:c>
      <x:c r="D279" s="69" t="str">
        <x:v>家族写真にいない人</x:v>
      </x:c>
      <x:c r="E279" s="69" t="str">
        <x:v>Present day; a family home while preparing an anniversary slideshow. No supernatural rule is added.</x:v>
      </x:c>
      <x:c r="F279" s="69" t="str">
        <x:v>the relative who notices someone erased from old photos</x:v>
      </x:c>
      <x:c r="G279" s="69" t="str">
        <x:v>Aunt Naomi Hill, the person who made the album</x:v>
      </x:c>
      <x:c r="H279" s="69" t="str">
        <x:v>Juniper</x:v>
      </x:c>
      <x:c r="I279" s="69" t="str">
        <x:v>開放的で明るい。相談、再会、親密な会話に合う</x:v>
      </x:c>
      <x:c r="J279" s="69" t="str">
        <x:v>B1–C1</x:v>
      </x:c>
      <x:c r="K279" s="69" t="str">
        <x:v>ふつう</x:v>
      </x:c>
      <x:c r="L279" s="69" t="str">
        <x:v>2〜3文で自然に受け答え</x:v>
      </x:c>
      <x:c r="M279" s="69" t="str">
        <x:v>sensitive family questions and discretion</x:v>
      </x:c>
      <x:c r="N279" s="69" t="str">
        <x:v>one-to-one; the celebration begins tonight; sensitive family questions</x:v>
      </x:c>
      <x:c r="O279" s="69" t="str">
        <x:v>domestic, recognizable, and quietly consequential</x:v>
      </x:c>
      <x:c r="P279" s="71" t="n">
        <x:v>12</x:v>
      </x:c>
      <x:c r="Q279" s="69" t="str">
        <x:v>ask about the omission and decide whether to include the story</x:v>
      </x:c>
      <x:c r="R279" s="69" t="str">
        <x:v>the celebration begins tonight</x:v>
      </x:c>
      <x:c r="S279" s="69" t="str">
        <x:v>Green</x:v>
      </x:c>
      <x:c r="T279" s="69" t="str">
        <x:v>IES_v10_8_02_SCENE_CARDS.md#H12</x:v>
      </x:c>
      <x:c r="U279" s="69" t="str">
        <x:v>家族写真にいない人</x:v>
      </x:c>
      <x:c r="V279" s="69" t="str">
        <x:v>Aunt Naomi Hill pushes on "the celebration begins tonight", and the whole exchange turns on sensitive family questions and.</x:v>
      </x:c>
      <x:c r="W279" s="69" t="str">
        <x:v>drama</x:v>
      </x:c>
    </x:row>
    <x:row r="280" ht="44" customHeight="1">
      <x:c r="A280" s="69" t="str">
        <x:v>H13</x:v>
      </x:c>
      <x:c r="B280" s="69" t="str">
        <x:v>家族・近隣・日常</x:v>
      </x:c>
      <x:c r="C280" s="69" t="str">
        <x:v>The Bookshop's Last Day</x:v>
      </x:c>
      <x:c r="D280" s="69" t="str">
        <x:v>町の本屋を閉める日</x:v>
      </x:c>
      <x:c r="E280" s="69" t="str">
        <x:v>Present day; a neighborhood bookstore before final closing. No supernatural rule is added.</x:v>
      </x:c>
      <x:c r="F280" s="69" t="str">
        <x:v>a longtime customer offering help</x:v>
      </x:c>
      <x:c r="G280" s="69" t="str">
        <x:v>Owner Grace Turner, exhausted and unwilling to accept vague promises</x:v>
      </x:c>
      <x:c r="H280" s="69" t="str">
        <x:v>Juniper</x:v>
      </x:c>
      <x:c r="I280" s="69" t="str">
        <x:v>開放的で明るい。相談、再会、親密な会話に合う</x:v>
      </x:c>
      <x:c r="J280" s="69" t="str">
        <x:v>B1–B2</x:v>
      </x:c>
      <x:c r="K280" s="69" t="str">
        <x:v>ふつう</x:v>
      </x:c>
      <x:c r="L280" s="69" t="str">
        <x:v>2〜3文で自然に受け答え</x:v>
      </x:c>
      <x:c r="M280" s="69" t="str">
        <x:v>practical support and respectful persuasion</x:v>
      </x:c>
      <x:c r="N280" s="69" t="str">
        <x:v>one-to-one; the lease surrender papers; practical support</x:v>
      </x:c>
      <x:c r="O280" s="69" t="str">
        <x:v>domestic, recognizable, and quietly consequential</x:v>
      </x:c>
      <x:c r="P280" s="71" t="n">
        <x:v>12</x:v>
      </x:c>
      <x:c r="Q280" s="69" t="str">
        <x:v>understand the real constraints and propose one concrete option</x:v>
      </x:c>
      <x:c r="R280" s="69" t="str">
        <x:v>the lease surrender papers are ready to sign</x:v>
      </x:c>
      <x:c r="S280" s="69" t="str">
        <x:v>Green</x:v>
      </x:c>
      <x:c r="T280" s="69" t="str">
        <x:v>IES_v10_8_02_SCENE_CARDS.md#H13</x:v>
      </x:c>
      <x:c r="U280" s="69" t="str">
        <x:v>町の本屋を閉める日</x:v>
      </x:c>
      <x:c r="V280" s="69" t="str">
        <x:v>Owner Grace Turner pushes on "the lease surrender papers are ready", and the whole exchange turns on practical support and respectful.</x:v>
      </x:c>
      <x:c r="W280" s="69" t="str">
        <x:v>drama</x:v>
      </x:c>
    </x:row>
    <x:row r="281" ht="44" customHeight="1">
      <x:c r="A281" s="69" t="str">
        <x:v>H14</x:v>
      </x:c>
      <x:c r="B281" s="69" t="str">
        <x:v>家族・近隣・日常</x:v>
      </x:c>
      <x:c r="C281" s="69" t="str">
        <x:v>The Emergency Pickup</x:v>
      </x:c>
      <x:c r="D281" s="69" t="str">
        <x:v>親友の子どもを預かる</x:v>
      </x:c>
      <x:c r="E281" s="69" t="str">
        <x:v>Present day; a school gate after a friend cannot arrive. No supernatural rule is added.</x:v>
      </x:c>
      <x:c r="F281" s="69" t="str">
        <x:v>the emergency contact without the correct identification</x:v>
      </x:c>
      <x:c r="G281" s="69" t="str">
        <x:v>Teacher Lily Adams, responsible for release safety</x:v>
      </x:c>
      <x:c r="H281" s="69" t="str">
        <x:v>Juniper</x:v>
      </x:c>
      <x:c r="I281" s="69" t="str">
        <x:v>開放的で明るい。相談、再会、親密な会話に合う</x:v>
      </x:c>
      <x:c r="J281" s="69" t="str">
        <x:v>A2–B1</x:v>
      </x:c>
      <x:c r="K281" s="69" t="str">
        <x:v>やさしい</x:v>
      </x:c>
      <x:c r="L281" s="69" t="str">
        <x:v>短い返事でOK。選択肢や言い換えあり</x:v>
      </x:c>
      <x:c r="M281" s="69" t="str">
        <x:v>identity clarification and procedure</x:v>
      </x:c>
      <x:c r="N281" s="69" t="str">
        <x:v>one-to-one; the school is closing; identity clarification</x:v>
      </x:c>
      <x:c r="O281" s="69" t="str">
        <x:v>domestic, recognizable, and quietly consequential</x:v>
      </x:c>
      <x:c r="P281" s="71" t="n">
        <x:v>8</x:v>
      </x:c>
      <x:c r="Q281" s="69" t="str">
        <x:v>verify permission and arrange a lawful solution</x:v>
      </x:c>
      <x:c r="R281" s="69" t="str">
        <x:v>the school is closing and the parent cannot be reached</x:v>
      </x:c>
      <x:c r="S281" s="69" t="str">
        <x:v>Green</x:v>
      </x:c>
      <x:c r="T281" s="69" t="str">
        <x:v>IES_v10_8_02_SCENE_CARDS.md#H14</x:v>
      </x:c>
      <x:c r="U281" s="69" t="str">
        <x:v>親友の子どもを預かる</x:v>
      </x:c>
      <x:c r="V281" s="69" t="str">
        <x:v>Teacher Lily Adams pushes on "the school is closing and the", and the whole exchange turns on identity clarification and procedure.</x:v>
      </x:c>
      <x:c r="W281" s="69" t="str">
        <x:v>drama</x:v>
      </x:c>
    </x:row>
    <x:row r="282" ht="44" customHeight="1">
      <x:c r="A282" s="69" t="str">
        <x:v>H15</x:v>
      </x:c>
      <x:c r="B282" s="69" t="str">
        <x:v>家族・近隣・日常</x:v>
      </x:c>
      <x:c r="C282" s="69" t="str">
        <x:v>The House Nobody Wants</x:v>
      </x:c>
      <x:c r="D282" s="69" t="str">
        <x:v>相続した古い家</x:v>
      </x:c>
      <x:c r="E282" s="69" t="str">
        <x:v>Present day; an inherited family house requiring an urgent decision. No supernatural rule is added.</x:v>
      </x:c>
      <x:c r="F282" s="69" t="str">
        <x:v>one relative considering whether to keep it</x:v>
      </x:c>
      <x:c r="G282" s="69" t="str">
        <x:v>Cousin Amelia Scott, who wants an immediate sale</x:v>
      </x:c>
      <x:c r="H282" s="69" t="str">
        <x:v>Juniper</x:v>
      </x:c>
      <x:c r="I282" s="69" t="str">
        <x:v>開放的で明るい。相談、再会、親密な会話に合う</x:v>
      </x:c>
      <x:c r="J282" s="69" t="str">
        <x:v>B1–B2</x:v>
      </x:c>
      <x:c r="K282" s="69" t="str">
        <x:v>ふつう</x:v>
      </x:c>
      <x:c r="L282" s="69" t="str">
        <x:v>2〜3文で自然に受け答え</x:v>
      </x:c>
      <x:c r="M282" s="69" t="str">
        <x:v>family decision-making and tradeoffs</x:v>
      </x:c>
      <x:c r="N282" s="69" t="str">
        <x:v>one-to-one; storm damage will worsen; family decision-making</x:v>
      </x:c>
      <x:c r="O282" s="69" t="str">
        <x:v>domestic, recognizable, and quietly consequential</x:v>
      </x:c>
      <x:c r="P282" s="71" t="n">
        <x:v>15</x:v>
      </x:c>
      <x:c r="Q282" s="69" t="str">
        <x:v>compare financial, practical, and emotional priorities</x:v>
      </x:c>
      <x:c r="R282" s="69" t="str">
        <x:v>storm damage will worsen without repairs this week</x:v>
      </x:c>
      <x:c r="S282" s="69" t="str">
        <x:v>Green</x:v>
      </x:c>
      <x:c r="T282" s="69" t="str">
        <x:v>IES_v10_8_02_SCENE_CARDS.md#H15</x:v>
      </x:c>
      <x:c r="U282" s="69" t="str">
        <x:v>相続した古い家</x:v>
      </x:c>
      <x:c r="V282" s="69" t="str">
        <x:v>Cousin Amelia Scott pushes on "storm damage will worsen without repairs", and the whole exchange turns on family decision-making and tradeoffs.</x:v>
      </x:c>
      <x:c r="W282" s="69" t="str">
        <x:v>drama</x:v>
      </x:c>
    </x:row>
    <x:row r="283" ht="44" customHeight="1">
      <x:c r="A283" s="69" t="str">
        <x:v>H16</x:v>
      </x:c>
      <x:c r="B283" s="69" t="str">
        <x:v>家族・近隣・日常</x:v>
      </x:c>
      <x:c r="C283" s="69" t="str">
        <x:v>The Last Garden Plot</x:v>
      </x:c>
      <x:c r="D283" s="69" t="str">
        <x:v>地域菜園の最後の区画</x:v>
      </x:c>
      <x:c r="E283" s="69" t="str">
        <x:v>Present day; a community garden allocation meeting. No supernatural rule is added.</x:v>
      </x:c>
      <x:c r="F283" s="69" t="str">
        <x:v>the applicant tied for the final plot</x:v>
      </x:c>
      <x:c r="G283" s="69" t="str">
        <x:v>Coordinator Mia Lopez, deciding between two strong applications</x:v>
      </x:c>
      <x:c r="H283" s="69" t="str">
        <x:v>Juniper</x:v>
      </x:c>
      <x:c r="I283" s="69" t="str">
        <x:v>開放的で明るい。相談、再会、親密な会話に合う</x:v>
      </x:c>
      <x:c r="J283" s="69" t="str">
        <x:v>A2–B1</x:v>
      </x:c>
      <x:c r="K283" s="69" t="str">
        <x:v>やさしい</x:v>
      </x:c>
      <x:c r="L283" s="69" t="str">
        <x:v>短い返事でOK。選択肢や言い換えあり</x:v>
      </x:c>
      <x:c r="M283" s="69" t="str">
        <x:v>persuasion and cooperative alternatives</x:v>
      </x:c>
      <x:c r="N283" s="69" t="str">
        <x:v>one-to-one; planting season begins tomorrow; persuasion</x:v>
      </x:c>
      <x:c r="O283" s="69" t="str">
        <x:v>domestic, recognizable, and quietly consequential</x:v>
      </x:c>
      <x:c r="P283" s="71" t="n">
        <x:v>10</x:v>
      </x:c>
      <x:c r="Q283" s="69" t="str">
        <x:v>make a case and propose shared use without attacking the other applicant</x:v>
      </x:c>
      <x:c r="R283" s="69" t="str">
        <x:v>planting season begins tomorrow</x:v>
      </x:c>
      <x:c r="S283" s="69" t="str">
        <x:v>Green</x:v>
      </x:c>
      <x:c r="T283" s="69" t="str">
        <x:v>IES_v10_8_02_SCENE_CARDS.md#H16</x:v>
      </x:c>
      <x:c r="U283" s="69" t="str">
        <x:v>地域菜園の最後の区画</x:v>
      </x:c>
      <x:c r="V283" s="69" t="str">
        <x:v>Coordinator Mia Lopez pushes on "planting season begins tomorrow", and the whole exchange turns on persuasion and cooperative alternatives.</x:v>
      </x:c>
      <x:c r="W283" s="69" t="str">
        <x:v>drama</x:v>
      </x:c>
    </x:row>
    <x:row r="284" ht="44" customHeight="1">
      <x:c r="A284" s="69" t="str">
        <x:v>H17</x:v>
      </x:c>
      <x:c r="B284" s="69" t="str">
        <x:v>家族・近隣・日常</x:v>
      </x:c>
      <x:c r="C284" s="69" t="str">
        <x:v>The Leak Above the Bed</x:v>
      </x:c>
      <x:c r="D284" s="69" t="str">
        <x:v>大家との修理交渉</x:v>
      </x:c>
      <x:c r="E284" s="69" t="str">
        <x:v>Present day; a rented apartment after repeated repair requests. No supernatural rule is added.</x:v>
      </x:c>
      <x:c r="F284" s="69" t="str">
        <x:v>the tenant documenting a serious leak</x:v>
      </x:c>
      <x:c r="G284" s="69" t="str">
        <x:v>Landlord Karen White, claiming the problem is minor</x:v>
      </x:c>
      <x:c r="H284" s="69" t="str">
        <x:v>Juniper</x:v>
      </x:c>
      <x:c r="I284" s="69" t="str">
        <x:v>開放的で明るい。相談、再会、親密な会話に合う</x:v>
      </x:c>
      <x:c r="J284" s="69" t="str">
        <x:v>A2–B2</x:v>
      </x:c>
      <x:c r="K284" s="69" t="str">
        <x:v>やさしい</x:v>
      </x:c>
      <x:c r="L284" s="69" t="str">
        <x:v>短い返事でOK。選択肢や言い換えあり</x:v>
      </x:c>
      <x:c r="M284" s="69" t="str">
        <x:v>complaint escalation and deadlines</x:v>
      </x:c>
      <x:c r="N284" s="69" t="str">
        <x:v>one-to-one; heavy rain is forecast; complaint escalation</x:v>
      </x:c>
      <x:c r="O284" s="69" t="str">
        <x:v>domestic, recognizable, and quietly consequential</x:v>
      </x:c>
      <x:c r="P284" s="71" t="n">
        <x:v>10</x:v>
      </x:c>
      <x:c r="Q284" s="69" t="str">
        <x:v>state the history, health impact, and required timeline</x:v>
      </x:c>
      <x:c r="R284" s="69" t="str">
        <x:v>heavy rain is forecast tonight</x:v>
      </x:c>
      <x:c r="S284" s="69" t="str">
        <x:v>Green</x:v>
      </x:c>
      <x:c r="T284" s="69" t="str">
        <x:v>IES_v10_8_02_SCENE_CARDS.md#H17</x:v>
      </x:c>
      <x:c r="U284" s="69" t="str">
        <x:v>大家との修理交渉</x:v>
      </x:c>
      <x:c r="V284" s="69" t="str">
        <x:v>Landlord Karen White pushes on "heavy rain is forecast tonight", and the whole exchange turns on complaint escalation and deadlines.</x:v>
      </x:c>
      <x:c r="W284" s="69" t="str">
        <x:v>drama</x:v>
      </x:c>
    </x:row>
    <x:row r="285" ht="44" customHeight="1">
      <x:c r="A285" s="69" t="str">
        <x:v>H18</x:v>
      </x:c>
      <x:c r="B285" s="69" t="str">
        <x:v>家族・近隣・日常</x:v>
      </x:c>
      <x:c r="C285" s="69" t="str">
        <x:v>The Family Chat Mistake</x:v>
      </x:c>
      <x:c r="D285" s="69" t="str">
        <x:v>家族のグループチャット誤送信</x:v>
      </x:c>
      <x:c r="E285" s="69" t="str">
        <x:v>Present day; a phone call after a private message reaches the whole family. No supernatural rule is added.</x:v>
      </x:c>
      <x:c r="F285" s="69" t="str">
        <x:v>the sender trying to repair the damage</x:v>
      </x:c>
      <x:c r="G285" s="69" t="str">
        <x:v>Sister Emma Young, the person criticized in the message</x:v>
      </x:c>
      <x:c r="H285" s="69" t="str">
        <x:v>Juniper</x:v>
      </x:c>
      <x:c r="I285" s="69" t="str">
        <x:v>開放的で明るい。相談、再会、親密な会話に合う</x:v>
      </x:c>
      <x:c r="J285" s="69" t="str">
        <x:v>A2–B1</x:v>
      </x:c>
      <x:c r="K285" s="69" t="str">
        <x:v>やさしい</x:v>
      </x:c>
      <x:c r="L285" s="69" t="str">
        <x:v>短い返事でOK。選択肢や言い換えあり</x:v>
      </x:c>
      <x:c r="M285" s="69" t="str">
        <x:v>accountable apology and conflict repair</x:v>
      </x:c>
      <x:c r="N285" s="69" t="str">
        <x:v>one-to-one; relatives are already taking; accountable apology</x:v>
      </x:c>
      <x:c r="O285" s="69" t="str">
        <x:v>domestic, recognizable, and quietly consequential</x:v>
      </x:c>
      <x:c r="P285" s="71" t="n">
        <x:v>10</x:v>
      </x:c>
      <x:c r="Q285" s="69" t="str">
        <x:v>apologize directly and discuss the underlying issue</x:v>
      </x:c>
      <x:c r="R285" s="69" t="str">
        <x:v>relatives are already taking sides</x:v>
      </x:c>
      <x:c r="S285" s="69" t="str">
        <x:v>Green</x:v>
      </x:c>
      <x:c r="T285" s="69" t="str">
        <x:v>IES_v10_8_02_SCENE_CARDS.md#H18</x:v>
      </x:c>
      <x:c r="U285" s="69" t="str">
        <x:v>家族のグループチャット誤送信</x:v>
      </x:c>
      <x:c r="V285" s="69" t="str">
        <x:v>Sister Emma Young pushes on "relatives are already taking sides", and the whole exchange turns on accountable apology and conflict.</x:v>
      </x:c>
      <x:c r="W285" s="69" t="str">
        <x:v>drama</x:v>
      </x:c>
    </x:row>
    <x:row r="286" ht="44" customHeight="1">
      <x:c r="A286" s="69" t="str">
        <x:v>H19</x:v>
      </x:c>
      <x:c r="B286" s="69" t="str">
        <x:v>家族・近隣・日常</x:v>
      </x:c>
      <x:c r="C286" s="69" t="str">
        <x:v>The Missing Emergency Key</x:v>
      </x:c>
      <x:c r="D286" s="69" t="str">
        <x:v>防災倉庫の鍵</x:v>
      </x:c>
      <x:c r="E286" s="69" t="str">
        <x:v>Present day; an apartment building during a power outage. No supernatural rule is added.</x:v>
      </x:c>
      <x:c r="F286" s="69" t="str">
        <x:v>the resident who knows the emergency supplies exist</x:v>
      </x:c>
      <x:c r="G286" s="69" t="str">
        <x:v>Caretaker Rosa Martin, the only person authorized to open the store</x:v>
      </x:c>
      <x:c r="H286" s="69" t="str">
        <x:v>Breeze</x:v>
      </x:c>
      <x:c r="I286" s="69" t="str">
        <x:v>表情豊かで真剣。緊迫、怪異、冒険に合う</x:v>
      </x:c>
      <x:c r="J286" s="69" t="str">
        <x:v>B1–B2</x:v>
      </x:c>
      <x:c r="K286" s="69" t="str">
        <x:v>ふつう</x:v>
      </x:c>
      <x:c r="L286" s="69" t="str">
        <x:v>2〜3文で自然に受け答え</x:v>
      </x:c>
      <x:c r="M286" s="69" t="str">
        <x:v>urgent coordination and reassurance</x:v>
      </x:c>
      <x:c r="N286" s="69" t="str">
        <x:v>one-to-one; residents are gathering and; urgent coordination</x:v>
      </x:c>
      <x:c r="O286" s="69" t="str">
        <x:v>domestic, recognizable, and quietly consequential</x:v>
      </x:c>
      <x:c r="P286" s="71" t="n">
        <x:v>10</x:v>
      </x:c>
      <x:c r="Q286" s="69" t="str">
        <x:v>prove the need and create a safe distribution plan</x:v>
      </x:c>
      <x:c r="R286" s="69" t="str">
        <x:v>residents are gathering and rumors of shortages are spreading</x:v>
      </x:c>
      <x:c r="S286" s="69" t="str">
        <x:v>Green</x:v>
      </x:c>
      <x:c r="T286" s="69" t="str">
        <x:v>IES_v10_8_02_SCENE_CARDS.md#H19</x:v>
      </x:c>
      <x:c r="U286" s="69" t="str">
        <x:v>防災倉庫の鍵</x:v>
      </x:c>
      <x:c r="V286" s="69" t="str">
        <x:v>Caretaker Rosa Martin pushes on "residents are gathering and rumors of", and the whole exchange turns on urgent coordination and reassurance.</x:v>
      </x:c>
      <x:c r="W286" s="69" t="str">
        <x:v>drama</x:v>
      </x:c>
    </x:row>
    <x:row r="287" ht="44" customHeight="1">
      <x:c r="A287" s="69" t="str">
        <x:v>H20</x:v>
      </x:c>
      <x:c r="B287" s="69" t="str">
        <x:v>家族・近隣・日常</x:v>
      </x:c>
      <x:c r="C287" s="69" t="str">
        <x:v>The Unplanned Houseguest</x:v>
      </x:c>
      <x:c r="D287" s="69" t="str">
        <x:v>親戚の泊まりを断る</x:v>
      </x:c>
      <x:c r="E287" s="69" t="str">
        <x:v>Present day; a home phone call before a relative arrives. No supernatural rule is added.</x:v>
      </x:c>
      <x:c r="F287" s="69" t="str">
        <x:v>the resident unable to host</x:v>
      </x:c>
      <x:c r="G287" s="69" t="str">
        <x:v>Cousin Lucy Brown, assuming she can stay for two weeks</x:v>
      </x:c>
      <x:c r="H287" s="69" t="str">
        <x:v>Juniper</x:v>
      </x:c>
      <x:c r="I287" s="69" t="str">
        <x:v>開放的で明るい。相談、再会、親密な会話に合う</x:v>
      </x:c>
      <x:c r="J287" s="69" t="str">
        <x:v>A2–B1</x:v>
      </x:c>
      <x:c r="K287" s="69" t="str">
        <x:v>やさしい</x:v>
      </x:c>
      <x:c r="L287" s="69" t="str">
        <x:v>短い返事でOK。選択肢や言い換えあり</x:v>
      </x:c>
      <x:c r="M287" s="69" t="str">
        <x:v>firm refusal and practical help</x:v>
      </x:c>
      <x:c r="N287" s="69" t="str">
        <x:v>one-to-one; lucy is already on; firm refusal</x:v>
      </x:c>
      <x:c r="O287" s="69" t="str">
        <x:v>domestic, recognizable, and quietly consequential</x:v>
      </x:c>
      <x:c r="P287" s="71" t="n">
        <x:v>8</x:v>
      </x:c>
      <x:c r="Q287" s="69" t="str">
        <x:v>say no clearly and offer limited alternatives</x:v>
      </x:c>
      <x:c r="R287" s="69" t="str">
        <x:v>Lucy is already on the train</x:v>
      </x:c>
      <x:c r="S287" s="69" t="str">
        <x:v>Green</x:v>
      </x:c>
      <x:c r="T287" s="69" t="str">
        <x:v>IES_v10_8_02_SCENE_CARDS.md#H20</x:v>
      </x:c>
      <x:c r="U287" s="69" t="str">
        <x:v>親戚の泊まりを断る</x:v>
      </x:c>
      <x:c r="V287" s="69" t="str">
        <x:v>Cousin Lucy Brown pushes on "lucy is already on the train", and the whole exchange turns on firm refusal and practical.</x:v>
      </x:c>
      <x:c r="W287" s="69" t="str">
        <x:v>drama</x:v>
      </x:c>
    </x:row>
    <x:row r="288" ht="44" customHeight="1">
      <x:c r="A288" s="69" t="str">
        <x:v>H21</x:v>
      </x:c>
      <x:c r="B288" s="69" t="str">
        <x:v>家族・近隣・日常</x:v>
      </x:c>
      <x:c r="C288" s="69" t="str">
        <x:v>Two Versions of Childhood</x:v>
      </x:c>
      <x:c r="D288" s="69" t="str">
        <x:v>記憶の違う幼なじみ</x:v>
      </x:c>
      <x:c r="E288" s="69" t="str">
        <x:v>Present day; a hometown cafe during a reunion. No supernatural rule is added.</x:v>
      </x:c>
      <x:c r="F288" s="69" t="str">
        <x:v>the friend comparing conflicting memories</x:v>
      </x:c>
      <x:c r="G288" s="69" t="str">
        <x:v>Childhood friend Sarah King, certain you broke an old promise</x:v>
      </x:c>
      <x:c r="H288" s="69" t="str">
        <x:v>Juniper</x:v>
      </x:c>
      <x:c r="I288" s="69" t="str">
        <x:v>開放的で明るい。相談、再会、親密な会話に合う</x:v>
      </x:c>
      <x:c r="J288" s="69" t="str">
        <x:v>B1–B2</x:v>
      </x:c>
      <x:c r="K288" s="69" t="str">
        <x:v>ふつう</x:v>
      </x:c>
      <x:c r="L288" s="69" t="str">
        <x:v>2〜3文で自然に受け答え</x:v>
      </x:c>
      <x:c r="M288" s="69" t="str">
        <x:v>past narration and uncertainty</x:v>
      </x:c>
      <x:c r="N288" s="69" t="str">
        <x:v>one-to-one; the disputed promise shaped; past narration</x:v>
      </x:c>
      <x:c r="O288" s="69" t="str">
        <x:v>domestic, recognizable, and quietly consequential</x:v>
      </x:c>
      <x:c r="P288" s="71" t="n">
        <x:v>12</x:v>
      </x:c>
      <x:c r="Q288" s="69" t="str">
        <x:v>explore the discrepancy without declaring either person dishonest</x:v>
      </x:c>
      <x:c r="R288" s="69" t="str">
        <x:v>the disputed promise shaped Sarah's major life decision</x:v>
      </x:c>
      <x:c r="S288" s="69" t="str">
        <x:v>Green</x:v>
      </x:c>
      <x:c r="T288" s="69" t="str">
        <x:v>IES_v10_8_02_SCENE_CARDS.md#H21</x:v>
      </x:c>
      <x:c r="U288" s="69" t="str">
        <x:v>記憶の違う幼なじみ</x:v>
      </x:c>
      <x:c r="V288" s="69" t="str">
        <x:v>Childhood friend Sarah King pushes on "the disputed promise shaped sarah's major", and the whole exchange turns on past narration and uncertainty.</x:v>
      </x:c>
      <x:c r="W288" s="69" t="str">
        <x:v>drama</x:v>
      </x:c>
    </x:row>
    <x:row r="289" ht="44" customHeight="1">
      <x:c r="A289" s="69" t="str">
        <x:v>H22</x:v>
      </x:c>
      <x:c r="B289" s="69" t="str">
        <x:v>家族・近隣・日常</x:v>
      </x:c>
      <x:c r="C289" s="69" t="str">
        <x:v>The Shared Driveway</x:v>
      </x:c>
      <x:c r="D289" s="69" t="str">
        <x:v>引っ越し当日の境界線</x:v>
      </x:c>
      <x:c r="E289" s="69" t="str">
        <x:v>Present day; two neighboring homes during moving day. No supernatural rule is added.</x:v>
      </x:c>
      <x:c r="F289" s="69" t="str">
        <x:v>the new resident needing temporary access</x:v>
      </x:c>
      <x:c r="G289" s="69" t="str">
        <x:v>Neighbor Alice Green, protective of her property</x:v>
      </x:c>
      <x:c r="H289" s="69" t="str">
        <x:v>Juniper</x:v>
      </x:c>
      <x:c r="I289" s="69" t="str">
        <x:v>開放的で明るい。相談、再会、親密な会話に合う</x:v>
      </x:c>
      <x:c r="J289" s="69" t="str">
        <x:v>A2–B1</x:v>
      </x:c>
      <x:c r="K289" s="69" t="str">
        <x:v>やさしい</x:v>
      </x:c>
      <x:c r="L289" s="69" t="str">
        <x:v>短い返事でOK。選択肢や言い換えあり</x:v>
      </x:c>
      <x:c r="M289" s="69" t="str">
        <x:v>requests, limits, and concrete agreement</x:v>
      </x:c>
      <x:c r="N289" s="69" t="str">
        <x:v>one-to-one; the moving truck blocks; requests, limits,</x:v>
      </x:c>
      <x:c r="O289" s="69" t="str">
        <x:v>domestic, recognizable, and quietly consequential</x:v>
      </x:c>
      <x:c r="P289" s="71" t="n">
        <x:v>8</x:v>
      </x:c>
      <x:c r="Q289" s="69" t="str">
        <x:v>request limited use and agree on timing and responsibility</x:v>
      </x:c>
      <x:c r="R289" s="69" t="str">
        <x:v>the moving truck blocks emergency access</x:v>
      </x:c>
      <x:c r="S289" s="69" t="str">
        <x:v>Green</x:v>
      </x:c>
      <x:c r="T289" s="69" t="str">
        <x:v>IES_v10_8_02_SCENE_CARDS.md#H22</x:v>
      </x:c>
      <x:c r="U289" s="69" t="str">
        <x:v>引っ越し当日の境界線</x:v>
      </x:c>
      <x:c r="V289" s="69" t="str">
        <x:v>Neighbor Alice Green pushes on "the moving truck blocks emergency access", and the whole exchange turns on requests, limits, and concrete.</x:v>
      </x:c>
      <x:c r="W289" s="69" t="str">
        <x:v>drama</x:v>
      </x:c>
    </x:row>
    <x:row r="290" ht="44" customHeight="1">
      <x:c r="A290" s="69" t="str">
        <x:v>H23</x:v>
      </x:c>
      <x:c r="B290" s="69" t="str">
        <x:v>家族・近隣・日常</x:v>
      </x:c>
      <x:c r="C290" s="69" t="str">
        <x:v>The Phone Rules Negotiation</x:v>
      </x:c>
      <x:c r="D290" s="69" t="str">
        <x:v>子どものスマホ利用ルール</x:v>
      </x:c>
      <x:c r="E290" s="69" t="str">
        <x:v>Present day; a family living room during a tense rule-setting conversation. No supernatural rule is added.</x:v>
      </x:c>
      <x:c r="F290" s="69" t="str">
        <x:v>the parent negotiating boundaries with a resistant teenager</x:v>
      </x:c>
      <x:c r="G290" s="69" t="str">
        <x:v>Niece Colette Marsh, whom you are temporarily guardian for</x:v>
      </x:c>
      <x:c r="H290" s="69" t="str">
        <x:v>Juniper</x:v>
      </x:c>
      <x:c r="I290" s="69" t="str">
        <x:v>開放的で明るい。相談、再会、親密な会話に合う</x:v>
      </x:c>
      <x:c r="J290" s="69" t="str">
        <x:v>A2–B1</x:v>
      </x:c>
      <x:c r="K290" s="69" t="str">
        <x:v>やさしい</x:v>
      </x:c>
      <x:c r="L290" s="69" t="str">
        <x:v>短い返事でOK。選択肢や言い換えあり</x:v>
      </x:c>
      <x:c r="M290" s="69" t="str">
        <x:v>firm boundaries with respectful negotiation</x:v>
      </x:c>
      <x:c r="N290" s="69" t="str">
        <x:v>one-to-one; her parents left contradictory; firm boundaries</x:v>
      </x:c>
      <x:c r="O290" s="69" t="str">
        <x:v>domestic, recognizable, and quietly consequential</x:v>
      </x:c>
      <x:c r="P290" s="71" t="n">
        <x:v>10</x:v>
      </x:c>
      <x:c r="Q290" s="69" t="str">
        <x:v>set clear rules while respecting her growing independence</x:v>
      </x:c>
      <x:c r="R290" s="69" t="str">
        <x:v>her parents left contradictory guidance before their trip</x:v>
      </x:c>
      <x:c r="S290" s="69" t="str">
        <x:v>Green</x:v>
      </x:c>
      <x:c r="T290" s="69" t="str">
        <x:v>IES_v10_8_02_SCENE_CARDS.md#H23</x:v>
      </x:c>
      <x:c r="U290" s="69" t="str">
        <x:v>子どものスマホ利用ルール</x:v>
      </x:c>
      <x:c r="V290" s="69" t="str">
        <x:v>Niece Colette Marsh pushes on "her parents left contradictory guidance before", and the whole exchange turns on firm boundaries with respectful.</x:v>
      </x:c>
      <x:c r="W290" s="69" t="str">
        <x:v>drama</x:v>
      </x:c>
    </x:row>
    <x:row r="291" ht="44" customHeight="1">
      <x:c r="A291" s="69" t="str">
        <x:v>H24</x:v>
      </x:c>
      <x:c r="B291" s="69" t="str">
        <x:v>家族・近隣・日常</x:v>
      </x:c>
      <x:c r="C291" s="69" t="str">
        <x:v>The Informal Childcare Arrangement</x:v>
      </x:c>
      <x:c r="D291" s="69" t="str">
        <x:v>近所の子どもを預かる約束</x:v>
      </x:c>
      <x:c r="E291" s="69" t="str">
        <x:v>Present day; a shared apartment courtyard where an arrangement has become unclear. No supernatural rule is added.</x:v>
      </x:c>
      <x:c r="F291" s="69" t="str">
        <x:v>the neighbor whose casual help is being taken for granted</x:v>
      </x:c>
      <x:c r="G291" s="69" t="str">
        <x:v>Neighbor Priscilla Okonjo, assuming the arrangement continues indefinitely</x:v>
      </x:c>
      <x:c r="H291" s="69" t="str">
        <x:v>Juniper</x:v>
      </x:c>
      <x:c r="I291" s="69" t="str">
        <x:v>開放的で明るい。相談、再会、親密な会話に合う</x:v>
      </x:c>
      <x:c r="J291" s="69" t="str">
        <x:v>A2–B1</x:v>
      </x:c>
      <x:c r="K291" s="69" t="str">
        <x:v>やさしい</x:v>
      </x:c>
      <x:c r="L291" s="69" t="str">
        <x:v>短い返事でOK。選択肢や言い換えあり</x:v>
      </x:c>
      <x:c r="M291" s="69" t="str">
        <x:v>kind boundary-setting and clarification</x:v>
      </x:c>
      <x:c r="N291" s="69" t="str">
        <x:v>one-to-one; another commitment conflicts with; kind boundary-setting</x:v>
      </x:c>
      <x:c r="O291" s="69" t="str">
        <x:v>domestic, recognizable, and quietly consequential</x:v>
      </x:c>
      <x:c r="P291" s="71" t="n">
        <x:v>8</x:v>
      </x:c>
      <x:c r="Q291" s="69" t="str">
        <x:v>clarify limits kindly before resentment builds further</x:v>
      </x:c>
      <x:c r="R291" s="69" t="str">
        <x:v>another commitment conflicts with tomorrow's expected pickup</x:v>
      </x:c>
      <x:c r="S291" s="69" t="str">
        <x:v>Green</x:v>
      </x:c>
      <x:c r="T291" s="69" t="str">
        <x:v>IES_v10_8_02_SCENE_CARDS.md#H24</x:v>
      </x:c>
      <x:c r="U291" s="69" t="str">
        <x:v>近所の子どもを預かる約束</x:v>
      </x:c>
      <x:c r="V291" s="69" t="str">
        <x:v>Neighbor Priscilla Okonjo pushes on "another commitment conflicts with tomorrow's expected", and the whole exchange turns on kind boundary-setting and clarification.</x:v>
      </x:c>
      <x:c r="W291" s="69" t="str">
        <x:v>drama</x:v>
      </x:c>
    </x:row>
    <x:row r="292" ht="44" customHeight="1">
      <x:c r="A292" s="69" t="str">
        <x:v>H25</x:v>
      </x:c>
      <x:c r="B292" s="69" t="str">
        <x:v>家族・近隣・日常</x:v>
      </x:c>
      <x:c r="C292" s="69" t="str">
        <x:v>The Driving License Conversation</x:v>
      </x:c>
      <x:c r="D292" s="69" t="str">
        <x:v>同居する祖母の運転免許</x:v>
      </x:c>
      <x:c r="E292" s="69" t="str">
        <x:v>Present day; a family kitchen after a near-miss driving incident. No supernatural rule is added.</x:v>
      </x:c>
      <x:c r="F292" s="69" t="str">
        <x:v>the grandchild who must raise a difficult safety topic</x:v>
      </x:c>
      <x:c r="G292" s="69" t="str">
        <x:v>Grandmother Odile Bertrand, fiercely proud of her independence</x:v>
      </x:c>
      <x:c r="H292" s="69" t="str">
        <x:v>Juniper</x:v>
      </x:c>
      <x:c r="I292" s="69" t="str">
        <x:v>開放的で明るい。相談、再会、親密な会話に合う</x:v>
      </x:c>
      <x:c r="J292" s="69" t="str">
        <x:v>A2–B2</x:v>
      </x:c>
      <x:c r="K292" s="69" t="str">
        <x:v>やさしい</x:v>
      </x:c>
      <x:c r="L292" s="69" t="str">
        <x:v>短い返事でOK。選択肢や言い換えあり</x:v>
      </x:c>
      <x:c r="M292" s="69" t="str">
        <x:v>sensitive persuasion and dignity preservation</x:v>
      </x:c>
      <x:c r="N292" s="69" t="str">
        <x:v>one-to-one; she has a routine; sensitive persuasion</x:v>
      </x:c>
      <x:c r="O292" s="69" t="str">
        <x:v>domestic, recognizable, and quietly consequential</x:v>
      </x:c>
      <x:c r="P292" s="71" t="n">
        <x:v>12</x:v>
      </x:c>
      <x:c r="Q292" s="69" t="str">
        <x:v>raise safety concerns without stripping away her dignity</x:v>
      </x:c>
      <x:c r="R292" s="69" t="str">
        <x:v>she has a routine she values driving to every single day</x:v>
      </x:c>
      <x:c r="S292" s="69" t="str">
        <x:v>Green</x:v>
      </x:c>
      <x:c r="T292" s="69" t="str">
        <x:v>IES_v10_8_02_SCENE_CARDS.md#H25</x:v>
      </x:c>
      <x:c r="U292" s="69" t="str">
        <x:v>同居する祖母の運転免許</x:v>
      </x:c>
      <x:c r="V292" s="69" t="str">
        <x:v>Grandmother Odile Bertrand pushes on "she has a routine she values", and the whole exchange turns on sensitive persuasion and dignity.</x:v>
      </x:c>
      <x:c r="W292" s="69" t="str">
        <x:v>drama</x:v>
      </x:c>
    </x:row>
    <x:row r="293" ht="44" customHeight="1">
      <x:c r="A293" s="69" t="str">
        <x:v>H26</x:v>
      </x:c>
      <x:c r="B293" s="69" t="str">
        <x:v>家族・近隣・日常</x:v>
      </x:c>
      <x:c r="C293" s="69" t="str">
        <x:v>The Cleanup Duty Roster</x:v>
      </x:c>
      <x:c r="D293" s="69" t="str">
        <x:v>町内清掃当番の不公平感</x:v>
      </x:c>
      <x:c r="E293" s="69" t="str">
        <x:v>Present day; a community mailbox area where duty assignments feel unbalanced. No supernatural rule is added.</x:v>
      </x:c>
      <x:c r="F293" s="69" t="str">
        <x:v>the resident raising a fairness concern respectfully</x:v>
      </x:c>
      <x:c r="G293" s="69" t="str">
        <x:v>Building Rep Solange Duval, defensive about the current system</x:v>
      </x:c>
      <x:c r="H293" s="69" t="str">
        <x:v>Juniper</x:v>
      </x:c>
      <x:c r="I293" s="69" t="str">
        <x:v>開放的で明るい。相談、再会、親密な会話に合う</x:v>
      </x:c>
      <x:c r="J293" s="69" t="str">
        <x:v>A2–B1</x:v>
      </x:c>
      <x:c r="K293" s="69" t="str">
        <x:v>やさしい</x:v>
      </x:c>
      <x:c r="L293" s="69" t="str">
        <x:v>短い返事でOK。選択肢や言い換えあり</x:v>
      </x:c>
      <x:c r="M293" s="69" t="str">
        <x:v>evidence-based fairness argument</x:v>
      </x:c>
      <x:c r="N293" s="69" t="str">
        <x:v>one-to-one; the current roster was; evidence-based fairness argument</x:v>
      </x:c>
      <x:c r="O293" s="69" t="str">
        <x:v>domestic, recognizable, and quietly consequential</x:v>
      </x:c>
      <x:c r="P293" s="71" t="n">
        <x:v>8</x:v>
      </x:c>
      <x:c r="Q293" s="69" t="str">
        <x:v>present the imbalance with evidence and propose a fairer rotation</x:v>
      </x:c>
      <x:c r="R293" s="69" t="str">
        <x:v>the current roster was just reprinted and posted this morning</x:v>
      </x:c>
      <x:c r="S293" s="69" t="str">
        <x:v>Green</x:v>
      </x:c>
      <x:c r="T293" s="69" t="str">
        <x:v>IES_v10_8_02_SCENE_CARDS.md#H26</x:v>
      </x:c>
      <x:c r="U293" s="69" t="str">
        <x:v>町内清掃当番の不公平感</x:v>
      </x:c>
      <x:c r="V293" s="69" t="str">
        <x:v>Building Rep Solange Duval pushes on "the current roster was just reprinted", and the whole exchange turns on evidence-based fairness argument.</x:v>
      </x:c>
      <x:c r="W293" s="69" t="str">
        <x:v>drama</x:v>
      </x:c>
    </x:row>
    <x:row r="294" ht="44" customHeight="1">
      <x:c r="A294" s="69" t="str">
        <x:v>H27</x:v>
      </x:c>
      <x:c r="B294" s="69" t="str">
        <x:v>家族・近隣・日常</x:v>
      </x:c>
      <x:c r="C294" s="69" t="str">
        <x:v>The Curfew the Kid Sister Broke</x:v>
      </x:c>
      <x:c r="D294" s="69" t="str">
        <x:v>同居する妹の門限違反</x:v>
      </x:c>
      <x:c r="E294" s="69" t="str">
        <x:v>Present day; a family apartment past midnight after a worried wait. No supernatural rule is added.</x:v>
      </x:c>
      <x:c r="F294" s="69" t="str">
        <x:v>the older sibling responsible while parents are away</x:v>
      </x:c>
      <x:c r="G294" s="69" t="str">
        <x:v>Younger Sister Coralie Vasquez, defensive and clearly hiding something</x:v>
      </x:c>
      <x:c r="H294" s="69" t="str">
        <x:v>Juniper</x:v>
      </x:c>
      <x:c r="I294" s="69" t="str">
        <x:v>開放的で明るい。相談、再会、親密な会話に合う</x:v>
      </x:c>
      <x:c r="J294" s="69" t="str">
        <x:v>A2–B1</x:v>
      </x:c>
      <x:c r="K294" s="69" t="str">
        <x:v>やさしい</x:v>
      </x:c>
      <x:c r="L294" s="69" t="str">
        <x:v>短い返事でOK。選択肢や言い換えあり</x:v>
      </x:c>
      <x:c r="M294" s="69" t="str">
        <x:v>balanced authority and careful questioning</x:v>
      </x:c>
      <x:c r="N294" s="69" t="str">
        <x:v>one-to-one; her phone shows a; balanced authority</x:v>
      </x:c>
      <x:c r="O294" s="69" t="str">
        <x:v>domestic, recognizable, and quietly consequential</x:v>
      </x:c>
      <x:c r="P294" s="71" t="n">
        <x:v>10</x:v>
      </x:c>
      <x:c r="Q294" s="69" t="str">
        <x:v>balance concern and authority without becoming a interrogation</x:v>
      </x:c>
      <x:c r="R294" s="69" t="str">
        <x:v>her phone shows a location that does not match her story</x:v>
      </x:c>
      <x:c r="S294" s="69" t="str">
        <x:v>Green</x:v>
      </x:c>
      <x:c r="T294" s="69" t="str">
        <x:v>IES_v10_8_02_SCENE_CARDS.md#H27</x:v>
      </x:c>
      <x:c r="U294" s="69" t="str">
        <x:v>同居する妹の門限違反</x:v>
      </x:c>
      <x:c r="V294" s="69" t="str">
        <x:v>Younger Sister Coralie Vasquez pushes on "her phone shows a location that", and the whole exchange turns on balanced authority and careful.</x:v>
      </x:c>
      <x:c r="W294" s="69" t="str">
        <x:v>drama</x:v>
      </x:c>
    </x:row>
    <x:row r="295" ht="44" customHeight="1">
      <x:c r="A295" s="69" t="str">
        <x:v>T01</x:v>
      </x:c>
      <x:c r="B295" s="69" t="str">
        <x:v>旅行・イベント</x:v>
      </x:c>
      <x:c r="C295" s="69" t="str">
        <x:v>The Vanished Connection</x:v>
      </x:c>
      <x:c r="D295" s="69" t="str">
        <x:v>乗り継ぎ便が消えた夜</x:v>
      </x:c>
      <x:c r="E295" s="69" t="str">
        <x:v>Present day; an international airport after the final connection is canceled. No supernatural rule is added.</x:v>
      </x:c>
      <x:c r="F295" s="69" t="str">
        <x:v>a stranded traveler seeking a route home</x:v>
      </x:c>
      <x:c r="G295" s="69" t="str">
        <x:v>Airline agent Maya Patel, working the disruption desk</x:v>
      </x:c>
      <x:c r="H295" s="69" t="str">
        <x:v>Maple</x:v>
      </x:c>
      <x:c r="I295" s="69" t="str">
        <x:v>朗らかで率直。軽快、日常、サービス場面に合う</x:v>
      </x:c>
      <x:c r="J295" s="69" t="str">
        <x:v>A2–B2</x:v>
      </x:c>
      <x:c r="K295" s="69" t="str">
        <x:v>やさしい</x:v>
      </x:c>
      <x:c r="L295" s="69" t="str">
        <x:v>短い返事でOK。選択肢や言い換えあり</x:v>
      </x:c>
      <x:c r="M295" s="69" t="str">
        <x:v>travel problem-solving and priorities</x:v>
      </x:c>
      <x:c r="N295" s="69" t="str">
        <x:v>one-to-one; the remaining seats disappear; travel problem-solving</x:v>
      </x:c>
      <x:c r="O295" s="69" t="str">
        <x:v>immediate, practical, and socially vivid</x:v>
      </x:c>
      <x:c r="P295" s="71" t="n">
        <x:v>12</x:v>
      </x:c>
      <x:c r="Q295" s="69" t="str">
        <x:v>compare rerouting, hotel, refund, and baggage options</x:v>
      </x:c>
      <x:c r="R295" s="69" t="str">
        <x:v>the remaining seats disappear while you decide</x:v>
      </x:c>
      <x:c r="S295" s="69" t="str">
        <x:v>Green</x:v>
      </x:c>
      <x:c r="T295" s="69" t="str">
        <x:v>IES_v10_8_02_SCENE_CARDS.md#T01</x:v>
      </x:c>
      <x:c r="U295" s="69" t="str">
        <x:v>乗り継ぎ便が消えた夜</x:v>
      </x:c>
      <x:c r="V295" s="69" t="str">
        <x:v>Airline agent Maya Patel pushes on "the remaining seats disappear while you", and the whole exchange turns on travel problem-solving and priorities.</x:v>
      </x:c>
      <x:c r="W295" s="69" t="str">
        <x:v>drama</x:v>
      </x:c>
    </x:row>
    <x:row r="296" ht="44" customHeight="1">
      <x:c r="A296" s="69" t="str">
        <x:v>T02</x:v>
      </x:c>
      <x:c r="B296" s="69" t="str">
        <x:v>旅行・イベント</x:v>
      </x:c>
      <x:c r="C296" s="69" t="str">
        <x:v>The Wrong Train Reservation</x:v>
      </x:c>
      <x:c r="D296" s="69" t="str">
        <x:v>予約した列車が別の国へ</x:v>
      </x:c>
      <x:c r="E296" s="69" t="str">
        <x:v>Present day; a European rail station shortly before departure. No supernatural rule is added.</x:v>
      </x:c>
      <x:c r="F296" s="69" t="str">
        <x:v>the traveler whose ticket has the right city name in the wrong country</x:v>
      </x:c>
      <x:c r="G296" s="69" t="str">
        <x:v>Clerk Elena Rossi, trying to fix the booking</x:v>
      </x:c>
      <x:c r="H296" s="69" t="str">
        <x:v>Maple</x:v>
      </x:c>
      <x:c r="I296" s="69" t="str">
        <x:v>朗らかで率直。軽快、日常、サービス場面に合う</x:v>
      </x:c>
      <x:c r="J296" s="69" t="str">
        <x:v>A2–B1</x:v>
      </x:c>
      <x:c r="K296" s="69" t="str">
        <x:v>やさしい</x:v>
      </x:c>
      <x:c r="L296" s="69" t="str">
        <x:v>短い返事でOK。選択肢や言い換えあり</x:v>
      </x:c>
      <x:c r="M296" s="69" t="str">
        <x:v>location clarification and quick decisions</x:v>
      </x:c>
      <x:c r="N296" s="69" t="str">
        <x:v>one-to-one; the intended train leaves; location clarification</x:v>
      </x:c>
      <x:c r="O296" s="69" t="str">
        <x:v>immediate, practical, and socially vivid</x:v>
      </x:c>
      <x:c r="P296" s="71" t="n">
        <x:v>8</x:v>
      </x:c>
      <x:c r="Q296" s="69" t="str">
        <x:v>clarify the destination and choose the least damaging alternative</x:v>
      </x:c>
      <x:c r="R296" s="69" t="str">
        <x:v>the intended train leaves in eleven minutes</x:v>
      </x:c>
      <x:c r="S296" s="69" t="str">
        <x:v>Green</x:v>
      </x:c>
      <x:c r="T296" s="69" t="str">
        <x:v>IES_v10_8_02_SCENE_CARDS.md#T02</x:v>
      </x:c>
      <x:c r="U296" s="69" t="str">
        <x:v>予約した列車が別の国へ</x:v>
      </x:c>
      <x:c r="V296" s="69" t="str">
        <x:v>Clerk Elena Rossi pushes on "the intended train leaves in eleven", and the whole exchange turns on location clarification and quick.</x:v>
      </x:c>
      <x:c r="W296" s="69" t="str">
        <x:v>drama</x:v>
      </x:c>
    </x:row>
    <x:row r="297" ht="44" customHeight="1">
      <x:c r="A297" s="69" t="str">
        <x:v>T03</x:v>
      </x:c>
      <x:c r="B297" s="69" t="str">
        <x:v>旅行・イベント</x:v>
      </x:c>
      <x:c r="C297" s="69" t="str">
        <x:v>The Missing Passport</x:v>
      </x:c>
      <x:c r="D297" s="69" t="str">
        <x:v>ホテルでパスポートを紛失</x:v>
      </x:c>
      <x:c r="E297" s="69" t="str">
        <x:v>Present day; a hotel security office on departure morning. No supernatural rule is added.</x:v>
      </x:c>
      <x:c r="F297" s="69" t="str">
        <x:v>the traveler reconstructing the previous evening</x:v>
      </x:c>
      <x:c r="G297" s="69" t="str">
        <x:v>Security manager Clara Diaz, reviewing camera access</x:v>
      </x:c>
      <x:c r="H297" s="69" t="str">
        <x:v>Breeze</x:v>
      </x:c>
      <x:c r="I297" s="69" t="str">
        <x:v>表情豊かで真剣。緊迫、怪異、冒険に合う</x:v>
      </x:c>
      <x:c r="J297" s="69" t="str">
        <x:v>A2–B2</x:v>
      </x:c>
      <x:c r="K297" s="69" t="str">
        <x:v>やさしい</x:v>
      </x:c>
      <x:c r="L297" s="69" t="str">
        <x:v>短い返事でOK。選択肢や言い換えあり</x:v>
      </x:c>
      <x:c r="M297" s="69" t="str">
        <x:v>timeline narration and urgent coordination</x:v>
      </x:c>
      <x:c r="N297" s="69" t="str">
        <x:v>one-to-one; the embassy closes early; timeline narration</x:v>
      </x:c>
      <x:c r="O297" s="69" t="str">
        <x:v>immediate, practical, and socially vivid</x:v>
      </x:c>
      <x:c r="P297" s="71" t="n">
        <x:v>12</x:v>
      </x:c>
      <x:c r="Q297" s="69" t="str">
        <x:v>give a precise timeline and decide whom to contact first</x:v>
      </x:c>
      <x:c r="R297" s="69" t="str">
        <x:v>the embassy closes early and your flight is tonight</x:v>
      </x:c>
      <x:c r="S297" s="69" t="str">
        <x:v>Green</x:v>
      </x:c>
      <x:c r="T297" s="69" t="str">
        <x:v>IES_v10_8_02_SCENE_CARDS.md#T03</x:v>
      </x:c>
      <x:c r="U297" s="69" t="str">
        <x:v>ホテルでパスポートを紛失</x:v>
      </x:c>
      <x:c r="V297" s="69" t="str">
        <x:v>Security manager Clara Diaz pushes on "the embassy closes early and your", and the whole exchange turns on timeline narration and urgent.</x:v>
      </x:c>
      <x:c r="W297" s="69" t="str">
        <x:v>drama</x:v>
      </x:c>
    </x:row>
    <x:row r="298" ht="44" customHeight="1">
      <x:c r="A298" s="69" t="str">
        <x:v>T04</x:v>
      </x:c>
      <x:c r="B298" s="69" t="str">
        <x:v>旅行・イベント</x:v>
      </x:c>
      <x:c r="C298" s="69" t="str">
        <x:v>The Unexpected Wedding Speech</x:v>
      </x:c>
      <x:c r="D298" s="69" t="str">
        <x:v>結婚式でスピーチ代役</x:v>
      </x:c>
      <x:c r="E298" s="69" t="str">
        <x:v>Present day; a reception hallway after the scheduled speaker disappears. No supernatural rule is added.</x:v>
      </x:c>
      <x:c r="F298" s="69" t="str">
        <x:v>the guest asked to speak with no preparation</x:v>
      </x:c>
      <x:c r="G298" s="69" t="str">
        <x:v>Bride Olivia Stone, asking you personally</x:v>
      </x:c>
      <x:c r="H298" s="69" t="str">
        <x:v>Maple</x:v>
      </x:c>
      <x:c r="I298" s="69" t="str">
        <x:v>朗らかで率直。軽快、日常、サービス場面に合う</x:v>
      </x:c>
      <x:c r="J298" s="69" t="str">
        <x:v>A2–B1</x:v>
      </x:c>
      <x:c r="K298" s="69" t="str">
        <x:v>やさしい</x:v>
      </x:c>
      <x:c r="L298" s="69" t="str">
        <x:v>短い返事でOK。選択肢や言い換えあり</x:v>
      </x:c>
      <x:c r="M298" s="69" t="str">
        <x:v>story planning and respectful humor</x:v>
      </x:c>
      <x:c r="N298" s="69" t="str">
        <x:v>one-to-one; the master of ceremonies; story planning</x:v>
      </x:c>
      <x:c r="O298" s="69" t="str">
        <x:v>immediate, practical, and socially vivid</x:v>
      </x:c>
      <x:c r="P298" s="71" t="n">
        <x:v>10</x:v>
      </x:c>
      <x:c r="Q298" s="69" t="str">
        <x:v>decide whether to accept and gather the right stories and limits</x:v>
      </x:c>
      <x:c r="R298" s="69" t="str">
        <x:v>the master of ceremonies calls your name in five minutes</x:v>
      </x:c>
      <x:c r="S298" s="69" t="str">
        <x:v>Green</x:v>
      </x:c>
      <x:c r="T298" s="69" t="str">
        <x:v>IES_v10_8_02_SCENE_CARDS.md#T04</x:v>
      </x:c>
      <x:c r="U298" s="69" t="str">
        <x:v>結婚式でスピーチ代役</x:v>
      </x:c>
      <x:c r="V298" s="69" t="str">
        <x:v>Bride Olivia Stone pushes on "the master of ceremonies calls your", and the whole exchange turns on story planning and respectful.</x:v>
      </x:c>
      <x:c r="W298" s="69" t="str">
        <x:v>drama</x:v>
      </x:c>
    </x:row>
    <x:row r="299" ht="44" customHeight="1">
      <x:c r="A299" s="69" t="str">
        <x:v>T05</x:v>
      </x:c>
      <x:c r="B299" s="69" t="str">
        <x:v>旅行・イベント</x:v>
      </x:c>
      <x:c r="C299" s="69" t="str">
        <x:v>The Conference Roommate</x:v>
      </x:c>
      <x:c r="D299" s="69" t="str">
        <x:v>旅先で元同僚と相部屋</x:v>
      </x:c>
      <x:c r="E299" s="69" t="str">
        <x:v>Present day; a conference hotel after a booking error. No supernatural rule is added.</x:v>
      </x:c>
      <x:c r="F299" s="69" t="str">
        <x:v>the attendee assigned to share with a former coworker</x:v>
      </x:c>
      <x:c r="G299" s="69" t="str">
        <x:v>Former colleague Nina Brooks, with whom you ended badly</x:v>
      </x:c>
      <x:c r="H299" s="69" t="str">
        <x:v>Maple</x:v>
      </x:c>
      <x:c r="I299" s="69" t="str">
        <x:v>朗らかで率直。軽快、日常、サービス場面に合う</x:v>
      </x:c>
      <x:c r="J299" s="69" t="str">
        <x:v>B1–B2</x:v>
      </x:c>
      <x:c r="K299" s="69" t="str">
        <x:v>ふつう</x:v>
      </x:c>
      <x:c r="L299" s="69" t="str">
        <x:v>2〜3文で自然に受け答え</x:v>
      </x:c>
      <x:c r="M299" s="69" t="str">
        <x:v>room-sharing negotiation and past repair</x:v>
      </x:c>
      <x:c r="N299" s="69" t="str">
        <x:v>one-to-one; the city is fully; room-sharing negotiation</x:v>
      </x:c>
      <x:c r="O299" s="69" t="str">
        <x:v>immediate, practical, and socially vivid</x:v>
      </x:c>
      <x:c r="P299" s="71" t="n">
        <x:v>12</x:v>
      </x:c>
      <x:c r="Q299" s="69" t="str">
        <x:v>set practical boundaries and discuss whether to request a change</x:v>
      </x:c>
      <x:c r="R299" s="69" t="str">
        <x:v>the city is fully booked</x:v>
      </x:c>
      <x:c r="S299" s="69" t="str">
        <x:v>Green</x:v>
      </x:c>
      <x:c r="T299" s="69" t="str">
        <x:v>IES_v10_8_02_SCENE_CARDS.md#T05</x:v>
      </x:c>
      <x:c r="U299" s="69" t="str">
        <x:v>旅先で元同僚と相部屋</x:v>
      </x:c>
      <x:c r="V299" s="69" t="str">
        <x:v>Former colleague Nina Brooks pushes on "the city is fully booked", and the whole exchange turns on room-sharing negotiation and past.</x:v>
      </x:c>
      <x:c r="W299" s="69" t="str">
        <x:v>drama</x:v>
      </x:c>
    </x:row>
    <x:row r="300" ht="44" customHeight="1">
      <x:c r="A300" s="69" t="str">
        <x:v>T06</x:v>
      </x:c>
      <x:c r="B300" s="69" t="str">
        <x:v>旅行・イベント</x:v>
      </x:c>
      <x:c r="C300" s="69" t="str">
        <x:v>The Scratch on the Rental Car</x:v>
      </x:c>
      <x:c r="D300" s="69" t="str">
        <x:v>レンタカーの傷</x:v>
      </x:c>
      <x:c r="E300" s="69" t="str">
        <x:v>Present day; a car-return lot before a flight. No supernatural rule is added.</x:v>
      </x:c>
      <x:c r="F300" s="69" t="str">
        <x:v>the driver disputing damage charges</x:v>
      </x:c>
      <x:c r="G300" s="69" t="str">
        <x:v>Inspector Sofia Martin, documenting the vehicle</x:v>
      </x:c>
      <x:c r="H300" s="69" t="str">
        <x:v>Maple</x:v>
      </x:c>
      <x:c r="I300" s="69" t="str">
        <x:v>朗らかで率直。軽快、日常、サービス場面に合う</x:v>
      </x:c>
      <x:c r="J300" s="69" t="str">
        <x:v>A2–B2</x:v>
      </x:c>
      <x:c r="K300" s="69" t="str">
        <x:v>やさしい</x:v>
      </x:c>
      <x:c r="L300" s="69" t="str">
        <x:v>短い返事でOK。選択肢や言い換えあり</x:v>
      </x:c>
      <x:c r="M300" s="69" t="str">
        <x:v>evidence and procedural negotiation</x:v>
      </x:c>
      <x:c r="N300" s="69" t="str">
        <x:v>one-to-one; check-in closes soon but; evidence</x:v>
      </x:c>
      <x:c r="O300" s="69" t="str">
        <x:v>immediate, practical, and socially vivid</x:v>
      </x:c>
      <x:c r="P300" s="71" t="n">
        <x:v>10</x:v>
      </x:c>
      <x:c r="Q300" s="69" t="str">
        <x:v>compare pickup evidence and agree on the next review step</x:v>
      </x:c>
      <x:c r="R300" s="69" t="str">
        <x:v>check-in closes soon but leaving may weaken the dispute</x:v>
      </x:c>
      <x:c r="S300" s="69" t="str">
        <x:v>Green</x:v>
      </x:c>
      <x:c r="T300" s="69" t="str">
        <x:v>IES_v10_8_02_SCENE_CARDS.md#T06</x:v>
      </x:c>
      <x:c r="U300" s="69" t="str">
        <x:v>レンタカーの傷</x:v>
      </x:c>
      <x:c r="V300" s="69" t="str">
        <x:v>Inspector Sofia Martin pushes on "check-in closes soon but leaving may", and the whole exchange turns on evidence and procedural negotiation.</x:v>
      </x:c>
      <x:c r="W300" s="69" t="str">
        <x:v>drama</x:v>
      </x:c>
    </x:row>
    <x:row r="301" ht="44" customHeight="1">
      <x:c r="A301" s="69" t="str">
        <x:v>T07</x:v>
      </x:c>
      <x:c r="B301" s="69" t="str">
        <x:v>旅行・イベント</x:v>
      </x:c>
      <x:c r="C301" s="69" t="str">
        <x:v>Turn Back or Continue?</x:v>
      </x:c>
      <x:c r="D301" s="69" t="str">
        <x:v>山岳ツアーの引き返し判断</x:v>
      </x:c>
      <x:c r="E301" s="69" t="str">
        <x:v>Present day; a mountain shelter as weather worsens. No supernatural rule is added.</x:v>
      </x:c>
      <x:c r="F301" s="69" t="str">
        <x:v>the group member asked for a decision</x:v>
      </x:c>
      <x:c r="G301" s="69" t="str">
        <x:v>Guide Harper Lee, responsible for safety</x:v>
      </x:c>
      <x:c r="H301" s="69" t="str">
        <x:v>Maple</x:v>
      </x:c>
      <x:c r="I301" s="69" t="str">
        <x:v>朗らかで率直。軽快、日常、サービス場面に合う</x:v>
      </x:c>
      <x:c r="J301" s="69" t="str">
        <x:v>B1–B2</x:v>
      </x:c>
      <x:c r="K301" s="69" t="str">
        <x:v>ふつう</x:v>
      </x:c>
      <x:c r="L301" s="69" t="str">
        <x:v>2〜3文で自然に受け答え</x:v>
      </x:c>
      <x:c r="M301" s="69" t="str">
        <x:v>risk questions and group decision</x:v>
      </x:c>
      <x:c r="N301" s="69" t="str">
        <x:v>one-to-one; some travelers paid for; risk questions</x:v>
      </x:c>
      <x:c r="O301" s="69" t="str">
        <x:v>immediate, practical, and socially vivid</x:v>
      </x:c>
      <x:c r="P301" s="71" t="n">
        <x:v>12</x:v>
      </x:c>
      <x:c r="Q301" s="69" t="str">
        <x:v>understand the forecast and decide whether to abandon the summit</x:v>
      </x:c>
      <x:c r="R301" s="69" t="str">
        <x:v>some travelers paid for a once-in-a-lifetime attempt</x:v>
      </x:c>
      <x:c r="S301" s="69" t="str">
        <x:v>Green</x:v>
      </x:c>
      <x:c r="T301" s="69" t="str">
        <x:v>IES_v10_8_02_SCENE_CARDS.md#T07</x:v>
      </x:c>
      <x:c r="U301" s="69" t="str">
        <x:v>山岳ツアーの引き返し判断</x:v>
      </x:c>
      <x:c r="V301" s="69" t="str">
        <x:v>Guide Harper Lee pushes on "some travelers paid for a once-in-a-lifetime", and the whole exchange turns on risk questions and group.</x:v>
      </x:c>
      <x:c r="W301" s="69" t="str">
        <x:v>drama</x:v>
      </x:c>
    </x:row>
    <x:row r="302" ht="44" customHeight="1">
      <x:c r="A302" s="69" t="str">
        <x:v>T08</x:v>
      </x:c>
      <x:c r="B302" s="69" t="str">
        <x:v>旅行・イベント</x:v>
      </x:c>
      <x:c r="C302" s="69" t="str">
        <x:v>The Seat at the Summit</x:v>
      </x:c>
      <x:c r="D302" s="69" t="str">
        <x:v>国際会議の席順問題</x:v>
      </x:c>
      <x:c r="E302" s="69" t="str">
        <x:v>Present day; a diplomatic event hall before delegates enter. No supernatural rule is added.</x:v>
      </x:c>
      <x:c r="F302" s="69" t="str">
        <x:v>the protocol assistant handling an offended guest</x:v>
      </x:c>
      <x:c r="G302" s="69" t="str">
        <x:v>Delegate Amina Hassan, whose assigned seat implies lower status</x:v>
      </x:c>
      <x:c r="H302" s="69" t="str">
        <x:v>Maple</x:v>
      </x:c>
      <x:c r="I302" s="69" t="str">
        <x:v>朗らかで率直。軽快、日常、サービス場面に合う</x:v>
      </x:c>
      <x:c r="J302" s="69" t="str">
        <x:v>B2–C1</x:v>
      </x:c>
      <x:c r="K302" s="69" t="str">
        <x:v>しっかり</x:v>
      </x:c>
      <x:c r="L302" s="69" t="str">
        <x:v>理由説明や交渉まで</x:v>
      </x:c>
      <x:c r="M302" s="69" t="str">
        <x:v>formal apology and protocol clarification</x:v>
      </x:c>
      <x:c r="N302" s="69" t="str">
        <x:v>one-to-one; the opening ceremony begins; formal apology</x:v>
      </x:c>
      <x:c r="O302" s="69" t="str">
        <x:v>immediate, practical, and socially vivid</x:v>
      </x:c>
      <x:c r="P302" s="71" t="n">
        <x:v>10</x:v>
      </x:c>
      <x:c r="Q302" s="69" t="str">
        <x:v>correct the issue without admitting intentional disrespect</x:v>
      </x:c>
      <x:c r="R302" s="69" t="str">
        <x:v>the opening ceremony begins in seven minutes</x:v>
      </x:c>
      <x:c r="S302" s="69" t="str">
        <x:v>Green</x:v>
      </x:c>
      <x:c r="T302" s="69" t="str">
        <x:v>IES_v10_8_02_SCENE_CARDS.md#T08</x:v>
      </x:c>
      <x:c r="U302" s="69" t="str">
        <x:v>国際会議の席順問題</x:v>
      </x:c>
      <x:c r="V302" s="69" t="str">
        <x:v>Delegate Amina Hassan pushes on "the opening ceremony begins in seven", and the whole exchange turns on formal apology and protocol.</x:v>
      </x:c>
      <x:c r="W302" s="69" t="str">
        <x:v>drama</x:v>
      </x:c>
    </x:row>
    <x:row r="303" ht="44" customHeight="1">
      <x:c r="A303" s="69" t="str">
        <x:v>T09</x:v>
      </x:c>
      <x:c r="B303" s="69" t="str">
        <x:v>旅行・イベント</x:v>
      </x:c>
      <x:c r="C303" s="69" t="str">
        <x:v>The Wallet at the Festival</x:v>
      </x:c>
      <x:c r="D303" s="69" t="str">
        <x:v>フェス会場で財布がない</x:v>
      </x:c>
      <x:c r="E303" s="69" t="str">
        <x:v>Present day; a crowded music festival information tent. No supernatural rule is added.</x:v>
      </x:c>
      <x:c r="F303" s="69" t="str">
        <x:v>the attendee missing identification and payment cards</x:v>
      </x:c>
      <x:c r="G303" s="69" t="str">
        <x:v>Staff member Zoe Clark, managing lost property</x:v>
      </x:c>
      <x:c r="H303" s="69" t="str">
        <x:v>Maple</x:v>
      </x:c>
      <x:c r="I303" s="69" t="str">
        <x:v>朗らかで率直。軽快、日常、サービス場面に合う</x:v>
      </x:c>
      <x:c r="J303" s="69" t="str">
        <x:v>A2–B1</x:v>
      </x:c>
      <x:c r="K303" s="69" t="str">
        <x:v>やさしい</x:v>
      </x:c>
      <x:c r="L303" s="69" t="str">
        <x:v>短い返事でOK。選択肢や言い換えあり</x:v>
      </x:c>
      <x:c r="M303" s="69" t="str">
        <x:v>description, verification, and contingency planning</x:v>
      </x:c>
      <x:c r="N303" s="69" t="str">
        <x:v>one-to-one; your phone battery is; description, verification,</x:v>
      </x:c>
      <x:c r="O303" s="69" t="str">
        <x:v>immediate, practical, and socially vivid</x:v>
      </x:c>
      <x:c r="P303" s="71" t="n">
        <x:v>8</x:v>
      </x:c>
      <x:c r="Q303" s="69" t="str">
        <x:v>describe the item, verify ownership, and plan safe travel home</x:v>
      </x:c>
      <x:c r="R303" s="69" t="str">
        <x:v>your phone battery is nearly empty</x:v>
      </x:c>
      <x:c r="S303" s="69" t="str">
        <x:v>Green</x:v>
      </x:c>
      <x:c r="T303" s="69" t="str">
        <x:v>IES_v10_8_02_SCENE_CARDS.md#T09</x:v>
      </x:c>
      <x:c r="U303" s="69" t="str">
        <x:v>フェス会場で財布がない</x:v>
      </x:c>
      <x:c r="V303" s="69" t="str">
        <x:v>Staff member Zoe Clark pushes on "your phone battery is nearly empty", and the whole exchange turns on description, verification, and contingency.</x:v>
      </x:c>
      <x:c r="W303" s="69" t="str">
        <x:v>drama</x:v>
      </x:c>
    </x:row>
    <x:row r="304" ht="44" customHeight="1">
      <x:c r="A304" s="69" t="str">
        <x:v>T10</x:v>
      </x:c>
      <x:c r="B304" s="69" t="str">
        <x:v>旅行・イベント</x:v>
      </x:c>
      <x:c r="C304" s="69" t="str">
        <x:v>The Closed Trail</x:v>
      </x:c>
      <x:c r="D304" s="69" t="str">
        <x:v>観光地の閉鎖区域</x:v>
      </x:c>
      <x:c r="E304" s="69" t="str">
        <x:v>Present day; a national-park checkpoint. No supernatural rule is added.</x:v>
      </x:c>
      <x:c r="F304" s="69" t="str">
        <x:v>the traveler whose booked route is suddenly closed</x:v>
      </x:c>
      <x:c r="G304" s="69" t="str">
        <x:v>Ranger Emma Wilson, enforcing the closure</x:v>
      </x:c>
      <x:c r="H304" s="69" t="str">
        <x:v>Maple</x:v>
      </x:c>
      <x:c r="I304" s="69" t="str">
        <x:v>朗らかで率直。軽快、日常、サービス場面に合う</x:v>
      </x:c>
      <x:c r="J304" s="69" t="str">
        <x:v>A2–B1</x:v>
      </x:c>
      <x:c r="K304" s="69" t="str">
        <x:v>やさしい</x:v>
      </x:c>
      <x:c r="L304" s="69" t="str">
        <x:v>短い返事でOK。選択肢や言い換えあり</x:v>
      </x:c>
      <x:c r="M304" s="69" t="str">
        <x:v>route questions and safety compromise</x:v>
      </x:c>
      <x:c r="N304" s="69" t="str">
        <x:v>one-to-one; your transport pickup is; route questions</x:v>
      </x:c>
      <x:c r="O304" s="69" t="str">
        <x:v>immediate, practical, and socially vivid</x:v>
      </x:c>
      <x:c r="P304" s="71" t="n">
        <x:v>10</x:v>
      </x:c>
      <x:c r="Q304" s="69" t="str">
        <x:v>understand the danger and find an alternative matching your limits</x:v>
      </x:c>
      <x:c r="R304" s="69" t="str">
        <x:v>your transport pickup is scheduled at the original endpoint</x:v>
      </x:c>
      <x:c r="S304" s="69" t="str">
        <x:v>Green</x:v>
      </x:c>
      <x:c r="T304" s="69" t="str">
        <x:v>IES_v10_8_02_SCENE_CARDS.md#T10</x:v>
      </x:c>
      <x:c r="U304" s="69" t="str">
        <x:v>観光地の閉鎖区域</x:v>
      </x:c>
      <x:c r="V304" s="69" t="str">
        <x:v>Ranger Emma Wilson pushes on "your transport pickup is scheduled at", and the whole exchange turns on route questions and safety.</x:v>
      </x:c>
      <x:c r="W304" s="69" t="str">
        <x:v>drama</x:v>
      </x:c>
    </x:row>
    <x:row r="305" ht="44" customHeight="1">
      <x:c r="A305" s="69" t="str">
        <x:v>T11</x:v>
      </x:c>
      <x:c r="B305" s="69" t="str">
        <x:v>旅行・イベント</x:v>
      </x:c>
      <x:c r="C305" s="69" t="str">
        <x:v>The Prescription Abroad</x:v>
      </x:c>
      <x:c r="D305" s="69" t="str">
        <x:v>海外で薬をなくした</x:v>
      </x:c>
      <x:c r="E305" s="69" t="str">
        <x:v>Present day; a foreign pharmacy during a holiday. No supernatural rule is added.</x:v>
      </x:c>
      <x:c r="F305" s="69" t="str">
        <x:v>the traveler needing replacement medication</x:v>
      </x:c>
      <x:c r="G305" s="69" t="str">
        <x:v>Pharmacist Lucia Meyer, checking what can legally be supplied</x:v>
      </x:c>
      <x:c r="H305" s="69" t="str">
        <x:v>Maple</x:v>
      </x:c>
      <x:c r="I305" s="69" t="str">
        <x:v>朗らかで率直。軽快、日常、サービス場面に合う</x:v>
      </x:c>
      <x:c r="J305" s="69" t="str">
        <x:v>A2–B2</x:v>
      </x:c>
      <x:c r="K305" s="69" t="str">
        <x:v>やさしい</x:v>
      </x:c>
      <x:c r="L305" s="69" t="str">
        <x:v>短い返事でOK。選択肢や言い換えあり</x:v>
      </x:c>
      <x:c r="M305" s="69" t="str">
        <x:v>health explanation and regulated requests</x:v>
      </x:c>
      <x:c r="N305" s="69" t="str">
        <x:v>one-to-one; local clinics close in; health explanation</x:v>
      </x:c>
      <x:c r="O305" s="69" t="str">
        <x:v>immediate, practical, and socially vivid</x:v>
      </x:c>
      <x:c r="P305" s="71" t="n">
        <x:v>10</x:v>
      </x:c>
      <x:c r="Q305" s="69" t="str">
        <x:v>explain the prescription and arrange a safe short-term option</x:v>
      </x:c>
      <x:c r="R305" s="69" t="str">
        <x:v>local clinics close in one hour</x:v>
      </x:c>
      <x:c r="S305" s="69" t="str">
        <x:v>Green</x:v>
      </x:c>
      <x:c r="T305" s="69" t="str">
        <x:v>IES_v10_8_02_SCENE_CARDS.md#T11</x:v>
      </x:c>
      <x:c r="U305" s="69" t="str">
        <x:v>海外で薬をなくした</x:v>
      </x:c>
      <x:c r="V305" s="69" t="str">
        <x:v>Pharmacist Lucia Meyer pushes on "local clinics close in one hour", and the whole exchange turns on health explanation and regulated.</x:v>
      </x:c>
      <x:c r="W305" s="69" t="str">
        <x:v>drama</x:v>
      </x:c>
    </x:row>
    <x:row r="306" ht="44" customHeight="1">
      <x:c r="A306" s="69" t="str">
        <x:v>T12</x:v>
      </x:c>
      <x:c r="B306" s="69" t="str">
        <x:v>旅行・イベント</x:v>
      </x:c>
      <x:c r="C306" s="69" t="str">
        <x:v>The Missing Muster Drill</x:v>
      </x:c>
      <x:c r="D306" s="69" t="str">
        <x:v>豪華客船の避難訓練</x:v>
      </x:c>
      <x:c r="E306" s="69" t="str">
        <x:v>Present day; a cruise-ship corridor after a passenger misses safety briefing. No supernatural rule is added.</x:v>
      </x:c>
      <x:c r="F306" s="69" t="str">
        <x:v>the passenger asked to complete a private drill</x:v>
      </x:c>
      <x:c r="G306" s="69" t="str">
        <x:v>Officer Grace Hall, responsible for compliance</x:v>
      </x:c>
      <x:c r="H306" s="69" t="str">
        <x:v>Maple</x:v>
      </x:c>
      <x:c r="I306" s="69" t="str">
        <x:v>朗らかで率直。軽快、日常、サービス場面に合う</x:v>
      </x:c>
      <x:c r="J306" s="69" t="str">
        <x:v>A2–B1</x:v>
      </x:c>
      <x:c r="K306" s="69" t="str">
        <x:v>やさしい</x:v>
      </x:c>
      <x:c r="L306" s="69" t="str">
        <x:v>短い返事でOK。選択肢や言い換えあり</x:v>
      </x:c>
      <x:c r="M306" s="69" t="str">
        <x:v>apology, instructions, and confirmation</x:v>
      </x:c>
      <x:c r="N306" s="69" t="str">
        <x:v>one-to-one; departure clearance is delayed; apology, instructions,</x:v>
      </x:c>
      <x:c r="O306" s="69" t="str">
        <x:v>immediate, practical, and socially vivid</x:v>
      </x:c>
      <x:c r="P306" s="71" t="n">
        <x:v>8</x:v>
      </x:c>
      <x:c r="Q306" s="69" t="str">
        <x:v>explain the absence and learn the procedure without defensiveness</x:v>
      </x:c>
      <x:c r="R306" s="69" t="str">
        <x:v>departure clearance is delayed until the drill is complete</x:v>
      </x:c>
      <x:c r="S306" s="69" t="str">
        <x:v>Green</x:v>
      </x:c>
      <x:c r="T306" s="69" t="str">
        <x:v>IES_v10_8_02_SCENE_CARDS.md#T12</x:v>
      </x:c>
      <x:c r="U306" s="69" t="str">
        <x:v>豪華客船の避難訓練</x:v>
      </x:c>
      <x:c r="V306" s="69" t="str">
        <x:v>Officer Grace Hall pushes on "departure clearance is delayed until the", and the whole exchange turns on apology, instructions, and confirmation.</x:v>
      </x:c>
      <x:c r="W306" s="69" t="str">
        <x:v>drama</x:v>
      </x:c>
    </x:row>
    <x:row r="307" ht="44" customHeight="1">
      <x:c r="A307" s="69" t="str">
        <x:v>T13</x:v>
      </x:c>
      <x:c r="B307" s="69" t="str">
        <x:v>旅行・イベント</x:v>
      </x:c>
      <x:c r="C307" s="69" t="str">
        <x:v>The Invalid Invitation</x:v>
      </x:c>
      <x:c r="D307" s="69" t="str">
        <x:v>美術展の招待状が無効</x:v>
      </x:c>
      <x:c r="E307" s="69" t="str">
        <x:v>Present day; an exhibition entrance on opening night. No supernatural rule is added.</x:v>
      </x:c>
      <x:c r="F307" s="69" t="str">
        <x:v>the invited guest whose digital pass fails</x:v>
      </x:c>
      <x:c r="G307" s="69" t="str">
        <x:v>Curator Natalie Price, checking the list</x:v>
      </x:c>
      <x:c r="H307" s="69" t="str">
        <x:v>Maple</x:v>
      </x:c>
      <x:c r="I307" s="69" t="str">
        <x:v>朗らかで率直。軽快、日常、サービス場面に合う</x:v>
      </x:c>
      <x:c r="J307" s="69" t="str">
        <x:v>B1–B2</x:v>
      </x:c>
      <x:c r="K307" s="69" t="str">
        <x:v>ふつう</x:v>
      </x:c>
      <x:c r="L307" s="69" t="str">
        <x:v>2〜3文で自然に受け答え</x:v>
      </x:c>
      <x:c r="M307" s="69" t="str">
        <x:v>formal clarification and face-saving</x:v>
      </x:c>
      <x:c r="N307" s="69" t="str">
        <x:v>one-to-one; the private artist talk; formal clarification</x:v>
      </x:c>
      <x:c r="O307" s="69" t="str">
        <x:v>immediate, practical, and socially vivid</x:v>
      </x:c>
      <x:c r="P307" s="71" t="n">
        <x:v>10</x:v>
      </x:c>
      <x:c r="Q307" s="69" t="str">
        <x:v>verify the invitation and avoid embarrassing the host</x:v>
      </x:c>
      <x:c r="R307" s="69" t="str">
        <x:v>the private artist talk starts in ten minutes</x:v>
      </x:c>
      <x:c r="S307" s="69" t="str">
        <x:v>Green</x:v>
      </x:c>
      <x:c r="T307" s="69" t="str">
        <x:v>IES_v10_8_02_SCENE_CARDS.md#T13</x:v>
      </x:c>
      <x:c r="U307" s="69" t="str">
        <x:v>美術展の招待状が無効</x:v>
      </x:c>
      <x:c r="V307" s="69" t="str">
        <x:v>Curator Natalie Price pushes on "the private artist talk starts in", and the whole exchange turns on formal clarification and face-saving.</x:v>
      </x:c>
      <x:c r="W307" s="69" t="str">
        <x:v>drama</x:v>
      </x:c>
    </x:row>
    <x:row r="308" ht="44" customHeight="1">
      <x:c r="A308" s="69" t="str">
        <x:v>T14</x:v>
      </x:c>
      <x:c r="B308" s="69" t="str">
        <x:v>旅行・イベント</x:v>
      </x:c>
      <x:c r="C308" s="69" t="str">
        <x:v>The Homestay Rules</x:v>
      </x:c>
      <x:c r="D308" s="69" t="str">
        <x:v>留学先のホームステイ規則</x:v>
      </x:c>
      <x:c r="E308" s="69" t="str">
        <x:v>Present day; a family kitchen on the first evening abroad. No supernatural rule is added.</x:v>
      </x:c>
      <x:c r="F308" s="69" t="str">
        <x:v>the visiting student discussing expectations</x:v>
      </x:c>
      <x:c r="G308" s="69" t="str">
        <x:v>Host mother Maria Evans, explaining unfamiliar household norms</x:v>
      </x:c>
      <x:c r="H308" s="69" t="str">
        <x:v>Maple</x:v>
      </x:c>
      <x:c r="I308" s="69" t="str">
        <x:v>朗らかで率直。軽快、日常、サービス場面に合う</x:v>
      </x:c>
      <x:c r="J308" s="69" t="str">
        <x:v>A2–B1</x:v>
      </x:c>
      <x:c r="K308" s="69" t="str">
        <x:v>やさしい</x:v>
      </x:c>
      <x:c r="L308" s="69" t="str">
        <x:v>短い返事でOK。選択肢や言い換えあり</x:v>
      </x:c>
      <x:c r="M308" s="69" t="str">
        <x:v>household questions and cultural clarification</x:v>
      </x:c>
      <x:c r="N308" s="69" t="str">
        <x:v>one-to-one; a misunderstanding has already; household questions</x:v>
      </x:c>
      <x:c r="O308" s="69" t="str">
        <x:v>immediate, practical, and socially vivid</x:v>
      </x:c>
      <x:c r="P308" s="71" t="n">
        <x:v>10</x:v>
      </x:c>
      <x:c r="Q308" s="69" t="str">
        <x:v>clarify curfew, meals, privacy, and communication</x:v>
      </x:c>
      <x:c r="R308" s="69" t="str">
        <x:v>a misunderstanding has already occurred about tomorrow morning</x:v>
      </x:c>
      <x:c r="S308" s="69" t="str">
        <x:v>Green</x:v>
      </x:c>
      <x:c r="T308" s="69" t="str">
        <x:v>IES_v10_8_02_SCENE_CARDS.md#T14</x:v>
      </x:c>
      <x:c r="U308" s="69" t="str">
        <x:v>留学先のホームステイ規則</x:v>
      </x:c>
      <x:c r="V308" s="69" t="str">
        <x:v>Host mother Maria Evans pushes on "a misunderstanding has already occurred about", and the whole exchange turns on household questions and cultural.</x:v>
      </x:c>
      <x:c r="W308" s="69" t="str">
        <x:v>drama</x:v>
      </x:c>
    </x:row>
    <x:row r="309" ht="44" customHeight="1">
      <x:c r="A309" s="69" t="str">
        <x:v>T15</x:v>
      </x:c>
      <x:c r="B309" s="69" t="str">
        <x:v>旅行・イベント</x:v>
      </x:c>
      <x:c r="C309" s="69" t="str">
        <x:v>The Identical Suitcase</x:v>
      </x:c>
      <x:c r="D309" s="69" t="str">
        <x:v>空港で同じスーツケース</x:v>
      </x:c>
      <x:c r="E309" s="69" t="str">
        <x:v>Present day; a baggage-claim office after two travelers take identical luggage. No supernatural rule is added.</x:v>
      </x:c>
      <x:c r="F309" s="69" t="str">
        <x:v>one traveler trying to recover the correct bag</x:v>
      </x:c>
      <x:c r="G309" s="69" t="str">
        <x:v>Passenger Julia Kim, holding the other suitcase</x:v>
      </x:c>
      <x:c r="H309" s="69" t="str">
        <x:v>Maple</x:v>
      </x:c>
      <x:c r="I309" s="69" t="str">
        <x:v>朗らかで率直。軽快、日常、サービス場面に合う</x:v>
      </x:c>
      <x:c r="J309" s="69" t="str">
        <x:v>A2–B1</x:v>
      </x:c>
      <x:c r="K309" s="69" t="str">
        <x:v>やさしい</x:v>
      </x:c>
      <x:c r="L309" s="69" t="str">
        <x:v>短い返事でOK。選択肢や言い換えあり</x:v>
      </x:c>
      <x:c r="M309" s="69" t="str">
        <x:v>description and cooperative problem-solving</x:v>
      </x:c>
      <x:c r="N309" s="69" t="str">
        <x:v>one-to-one; julia's connecting train leaves; description</x:v>
      </x:c>
      <x:c r="O309" s="69" t="str">
        <x:v>immediate, practical, and socially vivid</x:v>
      </x:c>
      <x:c r="P309" s="71" t="n">
        <x:v>8</x:v>
      </x:c>
      <x:c r="Q309" s="69" t="str">
        <x:v>verify contents respectfully and arrange the exchange</x:v>
      </x:c>
      <x:c r="R309" s="69" t="str">
        <x:v>Julia's connecting train leaves in fifteen minutes</x:v>
      </x:c>
      <x:c r="S309" s="69" t="str">
        <x:v>Green</x:v>
      </x:c>
      <x:c r="T309" s="69" t="str">
        <x:v>IES_v10_8_02_SCENE_CARDS.md#T15</x:v>
      </x:c>
      <x:c r="U309" s="69" t="str">
        <x:v>空港で同じスーツケース</x:v>
      </x:c>
      <x:c r="V309" s="69" t="str">
        <x:v>Passenger Julia Kim pushes on "julia's connecting train leaves in fifteen", and the whole exchange turns on description and cooperative problem-solving.</x:v>
      </x:c>
      <x:c r="W309" s="69" t="str">
        <x:v>drama</x:v>
      </x:c>
    </x:row>
    <x:row r="310" ht="44" customHeight="1">
      <x:c r="A310" s="69" t="str">
        <x:v>T16</x:v>
      </x:c>
      <x:c r="B310" s="69" t="str">
        <x:v>旅行・イベント</x:v>
      </x:c>
      <x:c r="C310" s="69" t="str">
        <x:v>The Missing Interpreter</x:v>
      </x:c>
      <x:c r="D310" s="69" t="str">
        <x:v>出張先の通訳が来ない</x:v>
      </x:c>
      <x:c r="E310" s="69" t="str">
        <x:v>Present day; a client lobby before an important overseas meeting. No supernatural rule is added.</x:v>
      </x:c>
      <x:c r="F310" s="69" t="str">
        <x:v>the visitor expected to begin without language support</x:v>
      </x:c>
      <x:c r="G310" s="69" t="str">
        <x:v>Client director Hana Moore, willing to simplify the meeting</x:v>
      </x:c>
      <x:c r="H310" s="69" t="str">
        <x:v>Maple</x:v>
      </x:c>
      <x:c r="I310" s="69" t="str">
        <x:v>朗らかで率直。軽快、日常、サービス場面に合う</x:v>
      </x:c>
      <x:c r="J310" s="69" t="str">
        <x:v>B1–B2</x:v>
      </x:c>
      <x:c r="K310" s="69" t="str">
        <x:v>ふつう</x:v>
      </x:c>
      <x:c r="L310" s="69" t="str">
        <x:v>2〜3文で自然に受け答え</x:v>
      </x:c>
      <x:c r="M310" s="69" t="str">
        <x:v>plain-language negotiation and checking understanding</x:v>
      </x:c>
      <x:c r="N310" s="69" t="str">
        <x:v>one-to-one; contract details cannot be; plain-language negotiation</x:v>
      </x:c>
      <x:c r="O310" s="69" t="str">
        <x:v>immediate, practical, and socially vivid</x:v>
      </x:c>
      <x:c r="P310" s="71" t="n">
        <x:v>12</x:v>
      </x:c>
      <x:c r="Q310" s="69" t="str">
        <x:v>set communication limits and agree on a safe agenda</x:v>
      </x:c>
      <x:c r="R310" s="69" t="str">
        <x:v>contract details cannot be misunderstood</x:v>
      </x:c>
      <x:c r="S310" s="69" t="str">
        <x:v>Green</x:v>
      </x:c>
      <x:c r="T310" s="69" t="str">
        <x:v>IES_v10_8_02_SCENE_CARDS.md#T16</x:v>
      </x:c>
      <x:c r="U310" s="69" t="str">
        <x:v>出張先の通訳が来ない</x:v>
      </x:c>
      <x:c r="V310" s="69" t="str">
        <x:v>Client director Hana Moore pushes on "contract details cannot be misunderstood", and the whole exchange turns on plain-language negotiation and checking.</x:v>
      </x:c>
      <x:c r="W310" s="69" t="str">
        <x:v>drama</x:v>
      </x:c>
    </x:row>
    <x:row r="311" ht="44" customHeight="1">
      <x:c r="A311" s="69" t="str">
        <x:v>T17</x:v>
      </x:c>
      <x:c r="B311" s="69" t="str">
        <x:v>旅行・イベント</x:v>
      </x:c>
      <x:c r="C311" s="69" t="str">
        <x:v>The Canceled Outdoor Show</x:v>
      </x:c>
      <x:c r="D311" s="69" t="str">
        <x:v>大雨で野外公演中止</x:v>
      </x:c>
      <x:c r="E311" s="69" t="str">
        <x:v>Present day; a festival control tent during severe weather. No supernatural rule is added.</x:v>
      </x:c>
      <x:c r="F311" s="69" t="str">
        <x:v>the event organizer making a public decision</x:v>
      </x:c>
      <x:c r="G311" s="69" t="str">
        <x:v>Headliner Maya Ross, whose team wants to delay rather than cancel</x:v>
      </x:c>
      <x:c r="H311" s="69" t="str">
        <x:v>Maple</x:v>
      </x:c>
      <x:c r="I311" s="69" t="str">
        <x:v>朗らかで率直。軽快、日常、サービス場面に合う</x:v>
      </x:c>
      <x:c r="J311" s="69" t="str">
        <x:v>B1–C1</x:v>
      </x:c>
      <x:c r="K311" s="69" t="str">
        <x:v>ふつう</x:v>
      </x:c>
      <x:c r="L311" s="69" t="str">
        <x:v>2〜3文で自然に受け答え</x:v>
      </x:c>
      <x:c r="M311" s="69" t="str">
        <x:v>risk communication and contingency planning</x:v>
      </x:c>
      <x:c r="N311" s="69" t="str">
        <x:v>one-to-one; lightning is moving toward; risk communication</x:v>
      </x:c>
      <x:c r="O311" s="69" t="str">
        <x:v>immediate, practical, and socially vivid</x:v>
      </x:c>
      <x:c r="P311" s="71" t="n">
        <x:v>12</x:v>
      </x:c>
      <x:c r="Q311" s="69" t="str">
        <x:v>balance safety, contracts, and audience communication</x:v>
      </x:c>
      <x:c r="R311" s="69" t="str">
        <x:v>lightning is moving toward the venue</x:v>
      </x:c>
      <x:c r="S311" s="69" t="str">
        <x:v>Green</x:v>
      </x:c>
      <x:c r="T311" s="69" t="str">
        <x:v>IES_v10_8_02_SCENE_CARDS.md#T17</x:v>
      </x:c>
      <x:c r="U311" s="69" t="str">
        <x:v>大雨で野外公演中止</x:v>
      </x:c>
      <x:c r="V311" s="69" t="str">
        <x:v>Headliner Maya Ross pushes on "lightning is moving toward the venue", and the whole exchange turns on risk communication and contingency.</x:v>
      </x:c>
      <x:c r="W311" s="69" t="str">
        <x:v>drama</x:v>
      </x:c>
    </x:row>
    <x:row r="312" ht="44" customHeight="1">
      <x:c r="A312" s="69" t="str">
        <x:v>T18</x:v>
      </x:c>
      <x:c r="B312" s="69" t="str">
        <x:v>旅行・イベント</x:v>
      </x:c>
      <x:c r="C312" s="69" t="str">
        <x:v>The Family Gift at Customs</x:v>
      </x:c>
      <x:c r="D312" s="69" t="str">
        <x:v>国境で贈り物を申告</x:v>
      </x:c>
      <x:c r="E312" s="69" t="str">
        <x:v>Present day; a land-border inspection point. No supernatural rule is added.</x:v>
      </x:c>
      <x:c r="F312" s="69" t="str">
        <x:v>the traveler carrying a valuable family gift</x:v>
      </x:c>
      <x:c r="G312" s="69" t="str">
        <x:v>Customs officer Elena Cruz, requesting a declaration</x:v>
      </x:c>
      <x:c r="H312" s="69" t="str">
        <x:v>Maple</x:v>
      </x:c>
      <x:c r="I312" s="69" t="str">
        <x:v>朗らかで率直。軽快、日常、サービス場面に合う</x:v>
      </x:c>
      <x:c r="J312" s="69" t="str">
        <x:v>A2–B2</x:v>
      </x:c>
      <x:c r="K312" s="69" t="str">
        <x:v>やさしい</x:v>
      </x:c>
      <x:c r="L312" s="69" t="str">
        <x:v>短い返事でOK。選択肢や言い換えあり</x:v>
      </x:c>
      <x:c r="M312" s="69" t="str">
        <x:v>formal description and compliance questions</x:v>
      </x:c>
      <x:c r="N312" s="69" t="str">
        <x:v>one-to-one; missing documentation may require; formal description</x:v>
      </x:c>
      <x:c r="O312" s="69" t="str">
        <x:v>immediate, practical, and socially vivid</x:v>
      </x:c>
      <x:c r="P312" s="71" t="n">
        <x:v>10</x:v>
      </x:c>
      <x:c r="Q312" s="69" t="str">
        <x:v>explain origin, value, and intended use honestly</x:v>
      </x:c>
      <x:c r="R312" s="69" t="str">
        <x:v>missing documentation may require temporary surrender</x:v>
      </x:c>
      <x:c r="S312" s="69" t="str">
        <x:v>Green</x:v>
      </x:c>
      <x:c r="T312" s="69" t="str">
        <x:v>IES_v10_8_02_SCENE_CARDS.md#T18</x:v>
      </x:c>
      <x:c r="U312" s="69" t="str">
        <x:v>国境で贈り物を申告</x:v>
      </x:c>
      <x:c r="V312" s="69" t="str">
        <x:v>Customs officer Elena Cruz pushes on "missing documentation may require temporary surrender", and the whole exchange turns on formal description and compliance.</x:v>
      </x:c>
      <x:c r="W312" s="69" t="str">
        <x:v>drama</x:v>
      </x:c>
    </x:row>
    <x:row r="313" ht="44" customHeight="1">
      <x:c r="A313" s="69" t="str">
        <x:v>T19</x:v>
      </x:c>
      <x:c r="B313" s="69" t="str">
        <x:v>旅行・イベント</x:v>
      </x:c>
      <x:c r="C313" s="69" t="str">
        <x:v>The Proposal Plan Changes</x:v>
      </x:c>
      <x:c r="D313" s="69" t="str">
        <x:v>旅先のプロポーズ計画変更</x:v>
      </x:c>
      <x:c r="E313" s="69" t="str">
        <x:v>Present day; a hotel terrace before a planned proposal. No supernatural rule is added.</x:v>
      </x:c>
      <x:c r="F313" s="69" t="str">
        <x:v>the person reconsidering the timing</x:v>
      </x:c>
      <x:c r="G313" s="69" t="str">
        <x:v>Concierge Sofia Lane, who arranged the surprise</x:v>
      </x:c>
      <x:c r="H313" s="69" t="str">
        <x:v>Maple</x:v>
      </x:c>
      <x:c r="I313" s="69" t="str">
        <x:v>朗らかで率直。軽快、日常、サービス場面に合う</x:v>
      </x:c>
      <x:c r="J313" s="69" t="str">
        <x:v>A2–B1</x:v>
      </x:c>
      <x:c r="K313" s="69" t="str">
        <x:v>やさしい</x:v>
      </x:c>
      <x:c r="L313" s="69" t="str">
        <x:v>短い返事でOK。選択肢や言い換えあり</x:v>
      </x:c>
      <x:c r="M313" s="69" t="str">
        <x:v>private requests and changing plans</x:v>
      </x:c>
      <x:c r="N313" s="69" t="str">
        <x:v>one-to-one; the partner is arriving; private requests</x:v>
      </x:c>
      <x:c r="O313" s="69" t="str">
        <x:v>immediate, practical, and socially vivid</x:v>
      </x:c>
      <x:c r="P313" s="71" t="n">
        <x:v>10</x:v>
      </x:c>
      <x:c r="Q313" s="69" t="str">
        <x:v>change or cancel the plan without making the partner the subject of staff gossip</x:v>
      </x:c>
      <x:c r="R313" s="69" t="str">
        <x:v>the partner is arriving earlier than expected</x:v>
      </x:c>
      <x:c r="S313" s="69" t="str">
        <x:v>Green</x:v>
      </x:c>
      <x:c r="T313" s="69" t="str">
        <x:v>IES_v10_8_02_SCENE_CARDS.md#T19</x:v>
      </x:c>
      <x:c r="U313" s="69" t="str">
        <x:v>旅先のプロポーズ計画変更</x:v>
      </x:c>
      <x:c r="V313" s="69" t="str">
        <x:v>Concierge Sofia Lane pushes on "the partner is arriving earlier than", and the whole exchange turns on private requests and changing.</x:v>
      </x:c>
      <x:c r="W313" s="69" t="str">
        <x:v>drama</x:v>
      </x:c>
    </x:row>
    <x:row r="314" ht="44" customHeight="1">
      <x:c r="A314" s="69" t="str">
        <x:v>T20</x:v>
      </x:c>
      <x:c r="B314" s="69" t="str">
        <x:v>旅行・イベント</x:v>
      </x:c>
      <x:c r="C314" s="69" t="str">
        <x:v>The Group Trip Budget</x:v>
      </x:c>
      <x:c r="D314" s="69" t="str">
        <x:v>卒業旅行の予算対立</x:v>
      </x:c>
      <x:c r="E314" s="69" t="str">
        <x:v>Present day; a station cafe while friends finalize a trip. No supernatural rule is added.</x:v>
      </x:c>
      <x:c r="F314" s="69" t="str">
        <x:v>the person who cannot afford the current plan</x:v>
      </x:c>
      <x:c r="G314" s="69" t="str">
        <x:v>Friend Chloe Adams, organizing bookings</x:v>
      </x:c>
      <x:c r="H314" s="69" t="str">
        <x:v>Maple</x:v>
      </x:c>
      <x:c r="I314" s="69" t="str">
        <x:v>朗らかで率直。軽快、日常、サービス場面に合う</x:v>
      </x:c>
      <x:c r="J314" s="69" t="str">
        <x:v>A2–B1</x:v>
      </x:c>
      <x:c r="K314" s="69" t="str">
        <x:v>やさしい</x:v>
      </x:c>
      <x:c r="L314" s="69" t="str">
        <x:v>短い返事でOK。選択肢や言い換えあり</x:v>
      </x:c>
      <x:c r="M314" s="69" t="str">
        <x:v>financial boundaries and group compromise</x:v>
      </x:c>
      <x:c r="N314" s="69" t="str">
        <x:v>one-to-one; nonrefundable reservations begin tonight; financial boundaries</x:v>
      </x:c>
      <x:c r="O314" s="69" t="str">
        <x:v>immediate, practical, and socially vivid</x:v>
      </x:c>
      <x:c r="P314" s="71" t="n">
        <x:v>10</x:v>
      </x:c>
      <x:c r="Q314" s="69" t="str">
        <x:v>state the budget honestly and propose inclusive alternatives</x:v>
      </x:c>
      <x:c r="R314" s="69" t="str">
        <x:v>nonrefundable reservations begin tonight</x:v>
      </x:c>
      <x:c r="S314" s="69" t="str">
        <x:v>Green</x:v>
      </x:c>
      <x:c r="T314" s="69" t="str">
        <x:v>IES_v10_8_02_SCENE_CARDS.md#T20</x:v>
      </x:c>
      <x:c r="U314" s="69" t="str">
        <x:v>卒業旅行の予算対立</x:v>
      </x:c>
      <x:c r="V314" s="69" t="str">
        <x:v>Friend Chloe Adams pushes on "nonrefundable reservations begin tonight", and the whole exchange turns on financial boundaries and group.</x:v>
      </x:c>
      <x:c r="W314" s="69" t="str">
        <x:v>drama</x:v>
      </x:c>
    </x:row>
    <x:row r="315" ht="44" customHeight="1">
      <x:c r="A315" s="69" t="str">
        <x:v>T21</x:v>
      </x:c>
      <x:c r="B315" s="69" t="str">
        <x:v>旅行・イベント</x:v>
      </x:c>
      <x:c r="C315" s="69" t="str">
        <x:v>The Overbooked Flight</x:v>
      </x:c>
      <x:c r="D315" s="69" t="str">
        <x:v>乗客ボランティアを頼まれる</x:v>
      </x:c>
      <x:c r="E315" s="69" t="str">
        <x:v>Present day; an airport gate during overbooking. No supernatural rule is added.</x:v>
      </x:c>
      <x:c r="F315" s="69" t="str">
        <x:v>the passenger considering a travel voucher</x:v>
      </x:c>
      <x:c r="G315" s="69" t="str">
        <x:v>Gate agent Priya Green, seeking volunteers</x:v>
      </x:c>
      <x:c r="H315" s="69" t="str">
        <x:v>Maple</x:v>
      </x:c>
      <x:c r="I315" s="69" t="str">
        <x:v>朗らかで率直。軽快、日常、サービス場面に合う</x:v>
      </x:c>
      <x:c r="J315" s="69" t="str">
        <x:v>A2–B2</x:v>
      </x:c>
      <x:c r="K315" s="69" t="str">
        <x:v>やさしい</x:v>
      </x:c>
      <x:c r="L315" s="69" t="str">
        <x:v>短い返事でOK。選択肢や言い換えあり</x:v>
      </x:c>
      <x:c r="M315" s="69" t="str">
        <x:v>conditional questions and decision-making</x:v>
      </x:c>
      <x:c r="N315" s="69" t="str">
        <x:v>one-to-one; the offer changes as; conditional questions</x:v>
      </x:c>
      <x:c r="O315" s="69" t="str">
        <x:v>immediate, practical, and socially vivid</x:v>
      </x:c>
      <x:c r="P315" s="71" t="n">
        <x:v>10</x:v>
      </x:c>
      <x:c r="Q315" s="69" t="str">
        <x:v>ask about compensation, timing, baggage, and guarantees</x:v>
      </x:c>
      <x:c r="R315" s="69" t="str">
        <x:v>the offer changes as departure approaches</x:v>
      </x:c>
      <x:c r="S315" s="69" t="str">
        <x:v>Green</x:v>
      </x:c>
      <x:c r="T315" s="69" t="str">
        <x:v>IES_v10_8_02_SCENE_CARDS.md#T21</x:v>
      </x:c>
      <x:c r="U315" s="69" t="str">
        <x:v>乗客ボランティアを頼まれる</x:v>
      </x:c>
      <x:c r="V315" s="69" t="str">
        <x:v>Gate agent Priya Green pushes on "the offer changes as departure approaches", and the whole exchange turns on conditional questions and decision-making.</x:v>
      </x:c>
      <x:c r="W315" s="69" t="str">
        <x:v>drama</x:v>
      </x:c>
    </x:row>
    <x:row r="316" ht="44" customHeight="1">
      <x:c r="A316" s="69" t="str">
        <x:v>T22</x:v>
      </x:c>
      <x:c r="B316" s="69" t="str">
        <x:v>旅行・イベント</x:v>
      </x:c>
      <x:c r="C316" s="69" t="str">
        <x:v>The Photograph at Sunrise</x:v>
      </x:c>
      <x:c r="D316" s="69" t="str">
        <x:v>旅先で会った写真家</x:v>
      </x:c>
      <x:c r="E316" s="69" t="str">
        <x:v>Present day; a coastal viewpoint before dawn. No supernatural rule is added.</x:v>
      </x:c>
      <x:c r="F316" s="69" t="str">
        <x:v>the traveler who appears in a stranger's best photograph</x:v>
      </x:c>
      <x:c r="G316" s="69" t="str">
        <x:v>Photographer Leila Hart, asking permission to publish the image</x:v>
      </x:c>
      <x:c r="H316" s="69" t="str">
        <x:v>Maple</x:v>
      </x:c>
      <x:c r="I316" s="69" t="str">
        <x:v>朗らかで率直。軽快、日常、サービス場面に合う</x:v>
      </x:c>
      <x:c r="J316" s="69" t="str">
        <x:v>B1–B2</x:v>
      </x:c>
      <x:c r="K316" s="69" t="str">
        <x:v>ふつう</x:v>
      </x:c>
      <x:c r="L316" s="69" t="str">
        <x:v>2〜3文で自然に受け答え</x:v>
      </x:c>
      <x:c r="M316" s="69" t="str">
        <x:v>consent, licensing, and personal boundaries</x:v>
      </x:c>
      <x:c r="N316" s="69" t="str">
        <x:v>one-to-one; the image has already; consent, licensing,</x:v>
      </x:c>
      <x:c r="O316" s="69" t="str">
        <x:v>immediate, practical, and socially vivid</x:v>
      </x:c>
      <x:c r="P316" s="71" t="n">
        <x:v>12</x:v>
      </x:c>
      <x:c r="Q316" s="69" t="str">
        <x:v>understand intended use and set consent conditions</x:v>
      </x:c>
      <x:c r="R316" s="69" t="str">
        <x:v>the image has already been shortlisted for a contest</x:v>
      </x:c>
      <x:c r="S316" s="69" t="str">
        <x:v>Green</x:v>
      </x:c>
      <x:c r="T316" s="69" t="str">
        <x:v>IES_v10_8_02_SCENE_CARDS.md#T22</x:v>
      </x:c>
      <x:c r="U316" s="69" t="str">
        <x:v>旅先で会った写真家</x:v>
      </x:c>
      <x:c r="V316" s="69" t="str">
        <x:v>Photographer Leila Hart pushes on "the image has already been shortlisted", and the whole exchange turns on consent, licensing, and personal.</x:v>
      </x:c>
      <x:c r="W316" s="69" t="str">
        <x:v>drama</x:v>
      </x:c>
    </x:row>
    <x:row r="317" ht="44" customHeight="1">
      <x:c r="A317" s="69" t="str">
        <x:v>T23</x:v>
      </x:c>
      <x:c r="B317" s="69" t="str">
        <x:v>旅行・イベント</x:v>
      </x:c>
      <x:c r="C317" s="69" t="str">
        <x:v>Invited to Carry the Portable Shrine</x:v>
      </x:c>
      <x:c r="D317" s="69" t="str">
        <x:v>祭りの神輿担ぎに誘われる</x:v>
      </x:c>
      <x:c r="E317" s="69" t="str">
        <x:v>Present day; a small-town festival where a visitor is unexpectedly invited to participate. No supernatural rule is added.</x:v>
      </x:c>
      <x:c r="F317" s="69" t="str">
        <x:v>the traveler deciding whether cultural participation is appropriate</x:v>
      </x:c>
      <x:c r="G317" s="69" t="str">
        <x:v>Festival Organizer Junko Aihara, genuinely eager for you to join</x:v>
      </x:c>
      <x:c r="H317" s="69" t="str">
        <x:v>Maple</x:v>
      </x:c>
      <x:c r="I317" s="69" t="str">
        <x:v>朗らかで率直。軽快、日常、サービス場面に合う</x:v>
      </x:c>
      <x:c r="J317" s="69" t="str">
        <x:v>A2–B1</x:v>
      </x:c>
      <x:c r="K317" s="69" t="str">
        <x:v>やさしい</x:v>
      </x:c>
      <x:c r="L317" s="69" t="str">
        <x:v>短い返事でOK。選択肢や言い換えあり</x:v>
      </x:c>
      <x:c r="M317" s="69" t="str">
        <x:v>cultural questions and respectful participation</x:v>
      </x:c>
      <x:c r="N317" s="69" t="str">
        <x:v>one-to-one; the procession begins in; cultural questions</x:v>
      </x:c>
      <x:c r="O317" s="69" t="str">
        <x:v>immediate, practical, and socially vivid</x:v>
      </x:c>
      <x:c r="P317" s="71" t="n">
        <x:v>10</x:v>
      </x:c>
      <x:c r="Q317" s="69" t="str">
        <x:v>ask respectful questions and decide how to participate appropriately</x:v>
      </x:c>
      <x:c r="R317" s="69" t="str">
        <x:v>the procession begins in fifteen minutes and roles are being assigned now</x:v>
      </x:c>
      <x:c r="S317" s="69" t="str">
        <x:v>Green</x:v>
      </x:c>
      <x:c r="T317" s="69" t="str">
        <x:v>IES_v10_8_02_SCENE_CARDS.md#T23</x:v>
      </x:c>
      <x:c r="U317" s="69" t="str">
        <x:v>祭りの神輿担ぎに誘われる</x:v>
      </x:c>
      <x:c r="V317" s="69" t="str">
        <x:v>Festival Organizer Junko Aihara pushes on "the procession begins in fifteen minutes", and the whole exchange turns on cultural questions and respectful.</x:v>
      </x:c>
      <x:c r="W317" s="69" t="str">
        <x:v>drama</x:v>
      </x:c>
    </x:row>
    <x:row r="318" ht="44" customHeight="1">
      <x:c r="A318" s="69" t="str">
        <x:v>T24</x:v>
      </x:c>
      <x:c r="B318" s="69" t="str">
        <x:v>旅行・イベント</x:v>
      </x:c>
      <x:c r="C318" s="69" t="str">
        <x:v>Breakfast Gossip at the Guesthouse</x:v>
      </x:c>
      <x:c r="D318" s="69" t="str">
        <x:v>民宿の朝食で聞いた噂話</x:v>
      </x:c>
      <x:c r="E318" s="69" t="str">
        <x:v>Present day; a small guesthouse breakfast table where other guests discuss local rumors. No supernatural rule is added.</x:v>
      </x:c>
      <x:c r="F318" s="69" t="str">
        <x:v>the traveler drawn into an awkward local controversy</x:v>
      </x:c>
      <x:c r="G318" s="69" t="str">
        <x:v>Innkeeper Rosalie Fontaine, caught between guests with opposing opinions</x:v>
      </x:c>
      <x:c r="H318" s="69" t="str">
        <x:v>Maple</x:v>
      </x:c>
      <x:c r="I318" s="69" t="str">
        <x:v>朗らかで率直。軽快、日常、サービス場面に合う</x:v>
      </x:c>
      <x:c r="J318" s="69" t="str">
        <x:v>A2–B2</x:v>
      </x:c>
      <x:c r="K318" s="69" t="str">
        <x:v>やさしい</x:v>
      </x:c>
      <x:c r="L318" s="69" t="str">
        <x:v>短い返事でOK。選択肢や言い換えあり</x:v>
      </x:c>
      <x:c r="M318" s="69" t="str">
        <x:v>diplomatic navigation and neutral language</x:v>
      </x:c>
      <x:c r="N318" s="69" t="str">
        <x:v>one-to-one; the other guests are; diplomatic navigation</x:v>
      </x:c>
      <x:c r="O318" s="69" t="str">
        <x:v>immediate, practical, and socially vivid</x:v>
      </x:c>
      <x:c r="P318" s="71" t="n">
        <x:v>10</x:v>
      </x:c>
      <x:c r="Q318" s="69" t="str">
        <x:v>navigate the conversation without taking an uninformed side</x:v>
      </x:c>
      <x:c r="R318" s="69" t="str">
        <x:v>the other guests are waiting for your reaction</x:v>
      </x:c>
      <x:c r="S318" s="69" t="str">
        <x:v>Green</x:v>
      </x:c>
      <x:c r="T318" s="69" t="str">
        <x:v>IES_v10_8_02_SCENE_CARDS.md#T24</x:v>
      </x:c>
      <x:c r="U318" s="69" t="str">
        <x:v>民宿の朝食で聞いた噂話</x:v>
      </x:c>
      <x:c r="V318" s="69" t="str">
        <x:v>Innkeeper Rosalie Fontaine pushes on "the other guests are waiting for", and the whole exchange turns on diplomatic navigation and neutral.</x:v>
      </x:c>
      <x:c r="W318" s="69" t="str">
        <x:v>drama</x:v>
      </x:c>
    </x:row>
    <x:row r="319" ht="44" customHeight="1">
      <x:c r="A319" s="69" t="str">
        <x:v>T25</x:v>
      </x:c>
      <x:c r="B319" s="69" t="str">
        <x:v>旅行・イベント</x:v>
      </x:c>
      <x:c r="C319" s="69" t="str">
        <x:v>The Language Gap on the Trail</x:v>
      </x:c>
      <x:c r="D319" s="69" t="str">
        <x:v>登山ガイドとの言葉の壁</x:v>
      </x:c>
      <x:c r="E319" s="69" t="str">
        <x:v>Present day; a mountain trailhead where the guide's English is limited and yours is developing. No supernatural rule is added.</x:v>
      </x:c>
      <x:c r="F319" s="69" t="str">
        <x:v>the hiker who must communicate safety information both ways</x:v>
      </x:c>
      <x:c r="G319" s="69" t="str">
        <x:v>Guide Amara Djellal, relying on gestures and simple English together</x:v>
      </x:c>
      <x:c r="H319" s="69" t="str">
        <x:v>Maple</x:v>
      </x:c>
      <x:c r="I319" s="69" t="str">
        <x:v>朗らかで率直。軽快、日常、サービス場面に合う</x:v>
      </x:c>
      <x:c r="J319" s="69" t="str">
        <x:v>A2–B1</x:v>
      </x:c>
      <x:c r="K319" s="69" t="str">
        <x:v>やさしい</x:v>
      </x:c>
      <x:c r="L319" s="69" t="str">
        <x:v>短い返事でOK。選択肢や言い換えあり</x:v>
      </x:c>
      <x:c r="M319" s="69" t="str">
        <x:v>simplified language and confirming understanding</x:v>
      </x:c>
      <x:c r="N319" s="69" t="str">
        <x:v>one-to-one; weather is changing faster; simplified language</x:v>
      </x:c>
      <x:c r="O319" s="69" t="str">
        <x:v>immediate, practical, and socially vivid</x:v>
      </x:c>
      <x:c r="P319" s="71" t="n">
        <x:v>10</x:v>
      </x:c>
      <x:c r="Q319" s="69" t="str">
        <x:v>build a shared vocabulary for safety under real time pressure</x:v>
      </x:c>
      <x:c r="R319" s="69" t="str">
        <x:v>weather is changing faster than the forecast predicted</x:v>
      </x:c>
      <x:c r="S319" s="69" t="str">
        <x:v>Green</x:v>
      </x:c>
      <x:c r="T319" s="69" t="str">
        <x:v>IES_v10_8_02_SCENE_CARDS.md#T25</x:v>
      </x:c>
      <x:c r="U319" s="69" t="str">
        <x:v>登山ガイドとの言葉の壁</x:v>
      </x:c>
      <x:c r="V319" s="69" t="str">
        <x:v>Guide Amara Djellal pushes on "weather is changing faster than the", and the whole exchange turns on simplified language and confirming.</x:v>
      </x:c>
      <x:c r="W319" s="69" t="str">
        <x:v>drama</x:v>
      </x:c>
    </x:row>
    <x:row r="320" ht="44" customHeight="1">
      <x:c r="A320" s="69" t="str">
        <x:v>T26</x:v>
      </x:c>
      <x:c r="B320" s="69" t="str">
        <x:v>旅行・イベント</x:v>
      </x:c>
      <x:c r="C320" s="69" t="str">
        <x:v>The Businesswoman in the Lounge</x:v>
      </x:c>
      <x:c r="D320" s="69" t="str">
        <x:v>空港ラウンジで隣り合った実業家</x:v>
      </x:c>
      <x:c r="E320" s="69" t="str">
        <x:v>Present day; an airport lounge during a long delay. No supernatural rule is added.</x:v>
      </x:c>
      <x:c r="F320" s="69" t="str">
        <x:v>the traveler drawn into an unplanned networking conversation</x:v>
      </x:c>
      <x:c r="G320" s="69" t="str">
        <x:v>Entrepreneur Odalys Kane, direct and openly evaluating you</x:v>
      </x:c>
      <x:c r="H320" s="69" t="str">
        <x:v>Maple</x:v>
      </x:c>
      <x:c r="I320" s="69" t="str">
        <x:v>朗らかで率直。軽快、日常、サービス場面に合う</x:v>
      </x:c>
      <x:c r="J320" s="69" t="str">
        <x:v>B1–B2</x:v>
      </x:c>
      <x:c r="K320" s="69" t="str">
        <x:v>ふつう</x:v>
      </x:c>
      <x:c r="L320" s="69" t="str">
        <x:v>2〜3文で自然に受け答え</x:v>
      </x:c>
      <x:c r="M320" s="69" t="str">
        <x:v>impromptu professional conversation</x:v>
      </x:c>
      <x:c r="N320" s="69" t="str">
        <x:v>one-to-one; she has just offered; impromptu professional conversation</x:v>
      </x:c>
      <x:c r="O320" s="69" t="str">
        <x:v>immediate, practical, and socially vivid</x:v>
      </x:c>
      <x:c r="P320" s="71" t="n">
        <x:v>12</x:v>
      </x:c>
      <x:c r="Q320" s="69" t="str">
        <x:v>hold your own in an impromptu professional conversation</x:v>
      </x:c>
      <x:c r="R320" s="69" t="str">
        <x:v>she has just offered you her card and a pointed question</x:v>
      </x:c>
      <x:c r="S320" s="69" t="str">
        <x:v>Green</x:v>
      </x:c>
      <x:c r="T320" s="69" t="str">
        <x:v>IES_v10_8_02_SCENE_CARDS.md#T26</x:v>
      </x:c>
      <x:c r="U320" s="69" t="str">
        <x:v>空港ラウンジで隣り合った実業家</x:v>
      </x:c>
      <x:c r="V320" s="69" t="str">
        <x:v>Entrepreneur Odalys Kane pushes on "she has just offered you her", and the whole exchange turns on impromptu professional conversation.</x:v>
      </x:c>
      <x:c r="W320" s="69" t="str">
        <x:v>drama</x:v>
      </x:c>
    </x:row>
    <x:row r="321" ht="44" customHeight="1">
      <x:c r="A321" s="70" t="str">
        <x:v>T27</x:v>
      </x:c>
      <x:c r="B321" s="70" t="str">
        <x:v>旅行・イベント</x:v>
      </x:c>
      <x:c r="C321" s="70" t="str">
        <x:v>The Crying Baby on the Overnight Flight</x:v>
      </x:c>
      <x:c r="D321" s="70" t="str">
        <x:v>国際線で隣席の乳児をあやす</x:v>
      </x:c>
      <x:c r="E321" s="70" t="str">
        <x:v>Present day; an overnight international flight where a parent is overwhelmed. No supernatural rule is added.</x:v>
      </x:c>
      <x:c r="F321" s="70" t="str">
        <x:v>the passenger unexpectedly asked for help</x:v>
      </x:c>
      <x:c r="G321" s="70" t="str">
        <x:v>Parent Zofia Nowak, exhausted and apologetic to everyone around</x:v>
      </x:c>
      <x:c r="H321" s="70" t="str">
        <x:v>Maple</x:v>
      </x:c>
      <x:c r="I321" s="70" t="str">
        <x:v>朗らかで率直。軽快、日常、サービス場面に合う</x:v>
      </x:c>
      <x:c r="J321" s="70" t="str">
        <x:v>A2–B1</x:v>
      </x:c>
      <x:c r="K321" s="70" t="str">
        <x:v>やさしい</x:v>
      </x:c>
      <x:c r="L321" s="70" t="str">
        <x:v>短い返事でOK。選択肢や言い換えあり</x:v>
      </x:c>
      <x:c r="M321" s="70" t="str">
        <x:v>considerate helpfulness and tact</x:v>
      </x:c>
      <x:c r="N321" s="70" t="str">
        <x:v>one-to-one; the cabin crew has; considerate helpfulness</x:v>
      </x:c>
      <x:c r="O321" s="70" t="str">
        <x:v>immediate, practical, and socially vivid</x:v>
      </x:c>
      <x:c r="P321" s="72" t="n">
        <x:v>8</x:v>
      </x:c>
      <x:c r="Q321" s="70" t="str">
        <x:v>offer practical help while respecting her as the parent</x:v>
      </x:c>
      <x:c r="R321" s="70" t="str">
        <x:v>the cabin crew has already received two complaints</x:v>
      </x:c>
      <x:c r="S321" s="70" t="str">
        <x:v>Green</x:v>
      </x:c>
      <x:c r="T321" s="70" t="str">
        <x:v>IES_v10_8_02_SCENE_CARDS.md#T27</x:v>
      </x:c>
      <x:c r="U321" s="70" t="str">
        <x:v>国際線で隣席の乳児をあやす</x:v>
      </x:c>
      <x:c r="V321" s="70" t="str">
        <x:v>Parent Zofia Nowak pushes on "the cabin crew has already received", and the whole exchange turns on considerate helpfulness and tact.</x:v>
      </x:c>
      <x:c r="W321" s="70" t="str">
        <x:v>drama</x:v>
      </x:c>
    </x:row>
  </x:sheetData>
  <x:conditionalFormatting sqref="S2:S321">
    <x:cfRule type="containsText" dxfId="0" priority="1" operator="containsText" text="Amber"/>
    <x:cfRule type="containsText" dxfId="1" priority="2" operator="containsText" text="Green"/>
  </x:conditionalFormatting>
  <x:pageMargins left="0.7" right="0.7" top="0.75" bottom="0.75" header="0.3" footer="0.3"/>
  <x:tableParts count="1">
    <x:tablePart xmlns:r="http://schemas.openxmlformats.org/officeDocument/2006/relationships" r:id="R1176f3cedf314b13"/>
  </x:tableParts>
</x:worksheet>
</file>